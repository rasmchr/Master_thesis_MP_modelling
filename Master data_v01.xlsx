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rucdk.sharepoint.com/sites/Speciale_-pjumb/Shared Documents/General/Master data/"/>
    </mc:Choice>
  </mc:AlternateContent>
  <xr:revisionPtr revIDLastSave="1163" documentId="11_8521C16E3599C04A7A7F95A9595BB59518007676" xr6:coauthVersionLast="47" xr6:coauthVersionMax="47" xr10:uidLastSave="{B0139E8C-5E40-40A6-B48F-FB06C9460E57}"/>
  <bookViews>
    <workbookView xWindow="-120" yWindow="-120" windowWidth="29040" windowHeight="15990" activeTab="1" xr2:uid="{00000000-000D-0000-FFFF-FFFF00000000}"/>
  </bookViews>
  <sheets>
    <sheet name="conversion factor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F16" i="2"/>
  <c r="C7" i="2"/>
  <c r="B7" i="2"/>
  <c r="K4" i="1"/>
  <c r="P264" i="1"/>
  <c r="P256" i="1"/>
  <c r="P248" i="1"/>
  <c r="P240" i="1"/>
  <c r="P232" i="1"/>
  <c r="P224" i="1"/>
  <c r="P216" i="1"/>
  <c r="P208" i="1"/>
  <c r="P200" i="1"/>
  <c r="P192" i="1"/>
  <c r="P184" i="1"/>
  <c r="P176" i="1"/>
  <c r="P168" i="1"/>
  <c r="P160" i="1"/>
  <c r="P152" i="1"/>
  <c r="P144" i="1"/>
  <c r="P136" i="1"/>
  <c r="P128" i="1"/>
  <c r="P120" i="1"/>
  <c r="P112" i="1"/>
  <c r="P104" i="1"/>
  <c r="P96" i="1"/>
  <c r="P88" i="1"/>
  <c r="P87" i="1"/>
  <c r="P86" i="1"/>
  <c r="P89" i="1"/>
  <c r="P90" i="1"/>
  <c r="P91" i="1"/>
  <c r="P92" i="1"/>
  <c r="P93" i="1"/>
  <c r="P94" i="1"/>
  <c r="P95" i="1"/>
  <c r="P97" i="1"/>
  <c r="P98" i="1"/>
  <c r="P99" i="1"/>
  <c r="P100" i="1"/>
  <c r="P101" i="1"/>
  <c r="P102" i="1"/>
  <c r="P103" i="1"/>
  <c r="P105" i="1"/>
  <c r="P106" i="1"/>
  <c r="P107" i="1"/>
  <c r="P108" i="1"/>
  <c r="P109" i="1"/>
  <c r="P110" i="1"/>
  <c r="P111" i="1"/>
  <c r="P113" i="1"/>
  <c r="P114" i="1"/>
  <c r="P115" i="1"/>
  <c r="P116" i="1"/>
  <c r="P117" i="1"/>
  <c r="P118" i="1"/>
  <c r="P119" i="1"/>
  <c r="P121" i="1"/>
  <c r="P122" i="1"/>
  <c r="P123" i="1"/>
  <c r="P124" i="1"/>
  <c r="P125" i="1"/>
  <c r="P126" i="1"/>
  <c r="P127" i="1"/>
  <c r="P129" i="1"/>
  <c r="P130" i="1"/>
  <c r="P131" i="1"/>
  <c r="P132" i="1"/>
  <c r="P133" i="1"/>
  <c r="P134" i="1"/>
  <c r="P135" i="1"/>
  <c r="P137" i="1"/>
  <c r="P138" i="1"/>
  <c r="P139" i="1"/>
  <c r="P140" i="1"/>
  <c r="P141" i="1"/>
  <c r="P142" i="1"/>
  <c r="P143" i="1"/>
  <c r="P145" i="1"/>
  <c r="P146" i="1"/>
  <c r="P147" i="1"/>
  <c r="P148" i="1"/>
  <c r="P149" i="1"/>
  <c r="P150" i="1"/>
  <c r="P151" i="1"/>
  <c r="P153" i="1"/>
  <c r="P154" i="1"/>
  <c r="P155" i="1"/>
  <c r="P156" i="1"/>
  <c r="P157" i="1"/>
  <c r="P158" i="1"/>
  <c r="P159" i="1"/>
  <c r="P161" i="1"/>
  <c r="P162" i="1"/>
  <c r="P163" i="1"/>
  <c r="P164" i="1"/>
  <c r="P165" i="1"/>
  <c r="P166" i="1"/>
  <c r="P167" i="1"/>
  <c r="P169" i="1"/>
  <c r="P170" i="1"/>
  <c r="P171" i="1"/>
  <c r="P172" i="1"/>
  <c r="P173" i="1"/>
  <c r="P174" i="1"/>
  <c r="P175" i="1"/>
  <c r="P177" i="1"/>
  <c r="P178" i="1"/>
  <c r="P179" i="1"/>
  <c r="P180" i="1"/>
  <c r="P181" i="1"/>
  <c r="P182" i="1"/>
  <c r="P183" i="1"/>
  <c r="P185" i="1"/>
  <c r="P186" i="1"/>
  <c r="P187" i="1"/>
  <c r="P188" i="1"/>
  <c r="P189" i="1"/>
  <c r="P190" i="1"/>
  <c r="P191" i="1"/>
  <c r="P193" i="1"/>
  <c r="P194" i="1"/>
  <c r="P195" i="1"/>
  <c r="P196" i="1"/>
  <c r="P197" i="1"/>
  <c r="P198" i="1"/>
  <c r="P199" i="1"/>
  <c r="P201" i="1"/>
  <c r="P202" i="1"/>
  <c r="P203" i="1"/>
  <c r="P204" i="1"/>
  <c r="P205" i="1"/>
  <c r="P206" i="1"/>
  <c r="P207" i="1"/>
  <c r="P209" i="1"/>
  <c r="P210" i="1"/>
  <c r="P211" i="1"/>
  <c r="P212" i="1"/>
  <c r="P213" i="1"/>
  <c r="P214" i="1"/>
  <c r="P215" i="1"/>
  <c r="P217" i="1"/>
  <c r="P218" i="1"/>
  <c r="P219" i="1"/>
  <c r="P220" i="1"/>
  <c r="P221" i="1"/>
  <c r="P222" i="1"/>
  <c r="P223" i="1"/>
  <c r="P225" i="1"/>
  <c r="P226" i="1"/>
  <c r="P227" i="1"/>
  <c r="P228" i="1"/>
  <c r="P229" i="1"/>
  <c r="P230" i="1"/>
  <c r="P231" i="1"/>
  <c r="P233" i="1"/>
  <c r="P234" i="1"/>
  <c r="P235" i="1"/>
  <c r="P236" i="1"/>
  <c r="P237" i="1"/>
  <c r="P238" i="1"/>
  <c r="P239" i="1"/>
  <c r="P241" i="1"/>
  <c r="P242" i="1"/>
  <c r="P243" i="1"/>
  <c r="P244" i="1"/>
  <c r="P245" i="1"/>
  <c r="P246" i="1"/>
  <c r="P247" i="1"/>
  <c r="P249" i="1"/>
  <c r="P250" i="1"/>
  <c r="P251" i="1"/>
  <c r="P252" i="1"/>
  <c r="P253" i="1"/>
  <c r="P254" i="1"/>
  <c r="P255" i="1"/>
  <c r="P257" i="1"/>
  <c r="P258" i="1"/>
  <c r="P259" i="1"/>
  <c r="P260" i="1"/>
  <c r="P261" i="1"/>
  <c r="P262" i="1"/>
  <c r="P263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67" i="1"/>
  <c r="I63" i="1"/>
  <c r="I58" i="1"/>
  <c r="I52" i="1"/>
  <c r="I44" i="1"/>
  <c r="I38" i="1"/>
  <c r="I31" i="1"/>
  <c r="I26" i="1"/>
  <c r="I21" i="1"/>
  <c r="I17" i="1"/>
  <c r="I9" i="1"/>
  <c r="I5" i="1"/>
  <c r="I13" i="1"/>
  <c r="M6" i="1"/>
  <c r="M7" i="1"/>
  <c r="M8" i="1" s="1"/>
  <c r="L7" i="1"/>
  <c r="L8" i="1" s="1"/>
  <c r="K7" i="1"/>
  <c r="K8" i="1" s="1"/>
  <c r="O6" i="1"/>
  <c r="O19" i="1"/>
  <c r="O38" i="1"/>
  <c r="O67" i="1"/>
  <c r="O71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M83" i="1"/>
  <c r="L83" i="1"/>
  <c r="K83" i="1"/>
  <c r="L82" i="1"/>
  <c r="K82" i="1"/>
  <c r="M81" i="1"/>
  <c r="L81" i="1"/>
  <c r="K81" i="1"/>
  <c r="L80" i="1"/>
  <c r="K80" i="1"/>
  <c r="L79" i="1"/>
  <c r="K79" i="1"/>
  <c r="L78" i="1"/>
  <c r="K78" i="1"/>
  <c r="L77" i="1"/>
  <c r="K77" i="1"/>
  <c r="L76" i="1"/>
  <c r="K76" i="1"/>
  <c r="O76" i="1" s="1"/>
  <c r="M75" i="1"/>
  <c r="L75" i="1"/>
  <c r="K75" i="1"/>
  <c r="O75" i="1" s="1"/>
  <c r="M74" i="1"/>
  <c r="L74" i="1"/>
  <c r="K74" i="1"/>
  <c r="L73" i="1"/>
  <c r="K73" i="1"/>
  <c r="O73" i="1" s="1"/>
  <c r="M72" i="1"/>
  <c r="L72" i="1"/>
  <c r="K72" i="1"/>
  <c r="M70" i="1"/>
  <c r="L70" i="1"/>
  <c r="K70" i="1"/>
  <c r="M69" i="1"/>
  <c r="L69" i="1"/>
  <c r="K69" i="1"/>
  <c r="M68" i="1"/>
  <c r="L68" i="1"/>
  <c r="K68" i="1"/>
  <c r="M66" i="1"/>
  <c r="L66" i="1"/>
  <c r="K66" i="1"/>
  <c r="M65" i="1"/>
  <c r="L65" i="1"/>
  <c r="K65" i="1"/>
  <c r="M64" i="1"/>
  <c r="L64" i="1"/>
  <c r="K64" i="1"/>
  <c r="M62" i="1"/>
  <c r="L62" i="1"/>
  <c r="K62" i="1"/>
  <c r="O62" i="1" s="1"/>
  <c r="M61" i="1"/>
  <c r="L61" i="1"/>
  <c r="K61" i="1"/>
  <c r="M60" i="1"/>
  <c r="L60" i="1"/>
  <c r="K60" i="1"/>
  <c r="M59" i="1"/>
  <c r="L59" i="1"/>
  <c r="K59" i="1"/>
  <c r="M57" i="1"/>
  <c r="L57" i="1"/>
  <c r="K57" i="1"/>
  <c r="M56" i="1"/>
  <c r="L56" i="1"/>
  <c r="K56" i="1"/>
  <c r="M55" i="1"/>
  <c r="L55" i="1"/>
  <c r="K55" i="1"/>
  <c r="M54" i="1"/>
  <c r="L54" i="1"/>
  <c r="K54" i="1"/>
  <c r="M53" i="1"/>
  <c r="L53" i="1"/>
  <c r="K53" i="1"/>
  <c r="O53" i="1" s="1"/>
  <c r="M51" i="1"/>
  <c r="L51" i="1"/>
  <c r="K51" i="1"/>
  <c r="O51" i="1" s="1"/>
  <c r="M50" i="1"/>
  <c r="L50" i="1"/>
  <c r="K50" i="1"/>
  <c r="M49" i="1"/>
  <c r="L49" i="1"/>
  <c r="K49" i="1"/>
  <c r="M48" i="1"/>
  <c r="L48" i="1"/>
  <c r="K48" i="1"/>
  <c r="M47" i="1"/>
  <c r="L47" i="1"/>
  <c r="K47" i="1"/>
  <c r="M46" i="1"/>
  <c r="L46" i="1"/>
  <c r="K46" i="1"/>
  <c r="M45" i="1"/>
  <c r="L45" i="1"/>
  <c r="K45" i="1"/>
  <c r="M43" i="1"/>
  <c r="L43" i="1"/>
  <c r="K43" i="1"/>
  <c r="O43" i="1" s="1"/>
  <c r="M42" i="1"/>
  <c r="L42" i="1"/>
  <c r="K42" i="1"/>
  <c r="M41" i="1"/>
  <c r="L41" i="1"/>
  <c r="K41" i="1"/>
  <c r="M40" i="1"/>
  <c r="L40" i="1"/>
  <c r="K40" i="1"/>
  <c r="M39" i="1"/>
  <c r="L39" i="1"/>
  <c r="K39" i="1"/>
  <c r="M37" i="1"/>
  <c r="L37" i="1"/>
  <c r="K37" i="1"/>
  <c r="M36" i="1"/>
  <c r="L36" i="1"/>
  <c r="K36" i="1"/>
  <c r="M35" i="1"/>
  <c r="L35" i="1"/>
  <c r="K35" i="1"/>
  <c r="M34" i="1"/>
  <c r="L34" i="1"/>
  <c r="K34" i="1"/>
  <c r="O34" i="1" s="1"/>
  <c r="M33" i="1"/>
  <c r="L33" i="1"/>
  <c r="K33" i="1"/>
  <c r="M32" i="1"/>
  <c r="L32" i="1"/>
  <c r="K32" i="1"/>
  <c r="M30" i="1"/>
  <c r="L30" i="1"/>
  <c r="K30" i="1"/>
  <c r="M29" i="1"/>
  <c r="L29" i="1"/>
  <c r="K29" i="1"/>
  <c r="M28" i="1"/>
  <c r="L28" i="1"/>
  <c r="K28" i="1"/>
  <c r="M27" i="1"/>
  <c r="L27" i="1"/>
  <c r="K27" i="1"/>
  <c r="K25" i="1"/>
  <c r="M25" i="1"/>
  <c r="L25" i="1"/>
  <c r="M24" i="1"/>
  <c r="L24" i="1"/>
  <c r="K24" i="1"/>
  <c r="O24" i="1" s="1"/>
  <c r="M23" i="1"/>
  <c r="L23" i="1"/>
  <c r="K23" i="1"/>
  <c r="M22" i="1"/>
  <c r="L22" i="1"/>
  <c r="K22" i="1"/>
  <c r="M20" i="1"/>
  <c r="L20" i="1"/>
  <c r="K20" i="1"/>
  <c r="M18" i="1"/>
  <c r="L18" i="1"/>
  <c r="K18" i="1"/>
  <c r="M16" i="1"/>
  <c r="L16" i="1"/>
  <c r="K16" i="1"/>
  <c r="M15" i="1"/>
  <c r="L15" i="1"/>
  <c r="K15" i="1"/>
  <c r="M14" i="1"/>
  <c r="L14" i="1"/>
  <c r="K14" i="1"/>
  <c r="M12" i="1"/>
  <c r="L12" i="1"/>
  <c r="K12" i="1"/>
  <c r="O12" i="1" s="1"/>
  <c r="M11" i="1"/>
  <c r="L11" i="1"/>
  <c r="K11" i="1"/>
  <c r="M10" i="1"/>
  <c r="L10" i="1"/>
  <c r="K10" i="1"/>
  <c r="M4" i="1"/>
  <c r="L4" i="1"/>
  <c r="M3" i="1"/>
  <c r="L3" i="1"/>
  <c r="K3" i="1"/>
  <c r="M2" i="1"/>
  <c r="L2" i="1"/>
  <c r="K2" i="1"/>
  <c r="M63" i="1"/>
  <c r="L63" i="1"/>
  <c r="K63" i="1"/>
  <c r="M58" i="1"/>
  <c r="L58" i="1"/>
  <c r="K58" i="1"/>
  <c r="M52" i="1"/>
  <c r="L52" i="1"/>
  <c r="K52" i="1"/>
  <c r="M44" i="1"/>
  <c r="L44" i="1"/>
  <c r="K44" i="1"/>
  <c r="M31" i="1"/>
  <c r="L31" i="1"/>
  <c r="K31" i="1"/>
  <c r="M26" i="1"/>
  <c r="L26" i="1"/>
  <c r="K26" i="1"/>
  <c r="O26" i="1" s="1"/>
  <c r="M21" i="1"/>
  <c r="L21" i="1"/>
  <c r="K21" i="1"/>
  <c r="M17" i="1"/>
  <c r="L17" i="1"/>
  <c r="K17" i="1"/>
  <c r="M13" i="1"/>
  <c r="L13" i="1"/>
  <c r="K13" i="1"/>
  <c r="M9" i="1"/>
  <c r="L9" i="1"/>
  <c r="K9" i="1"/>
  <c r="M5" i="1"/>
  <c r="L5" i="1"/>
  <c r="K5" i="1"/>
  <c r="N273" i="1"/>
  <c r="K273" i="1" s="1"/>
  <c r="N274" i="1"/>
  <c r="K274" i="1" s="1"/>
  <c r="N275" i="1"/>
  <c r="M275" i="1" s="1"/>
  <c r="N276" i="1"/>
  <c r="K276" i="1" s="1"/>
  <c r="N277" i="1"/>
  <c r="K277" i="1" s="1"/>
  <c r="N278" i="1"/>
  <c r="L278" i="1" s="1"/>
  <c r="N279" i="1"/>
  <c r="K279" i="1" s="1"/>
  <c r="N280" i="1"/>
  <c r="K280" i="1" s="1"/>
  <c r="N281" i="1"/>
  <c r="K281" i="1" s="1"/>
  <c r="N282" i="1"/>
  <c r="L282" i="1" s="1"/>
  <c r="N283" i="1"/>
  <c r="M283" i="1" s="1"/>
  <c r="N284" i="1"/>
  <c r="K284" i="1" s="1"/>
  <c r="N285" i="1"/>
  <c r="K285" i="1" s="1"/>
  <c r="N286" i="1"/>
  <c r="L286" i="1" s="1"/>
  <c r="N287" i="1"/>
  <c r="K287" i="1" s="1"/>
  <c r="N288" i="1"/>
  <c r="K288" i="1" s="1"/>
  <c r="N289" i="1"/>
  <c r="K289" i="1" s="1"/>
  <c r="N290" i="1"/>
  <c r="L290" i="1" s="1"/>
  <c r="N291" i="1"/>
  <c r="M291" i="1" s="1"/>
  <c r="N292" i="1"/>
  <c r="K292" i="1" s="1"/>
  <c r="N293" i="1"/>
  <c r="K293" i="1" s="1"/>
  <c r="N294" i="1"/>
  <c r="L294" i="1" s="1"/>
  <c r="N295" i="1"/>
  <c r="K295" i="1" s="1"/>
  <c r="N296" i="1"/>
  <c r="K296" i="1" s="1"/>
  <c r="N297" i="1"/>
  <c r="K297" i="1" s="1"/>
  <c r="N298" i="1"/>
  <c r="L298" i="1" s="1"/>
  <c r="N299" i="1"/>
  <c r="M299" i="1" s="1"/>
  <c r="N300" i="1"/>
  <c r="K300" i="1" s="1"/>
  <c r="N301" i="1"/>
  <c r="K301" i="1" s="1"/>
  <c r="N302" i="1"/>
  <c r="L302" i="1" s="1"/>
  <c r="N303" i="1"/>
  <c r="K303" i="1" s="1"/>
  <c r="N304" i="1"/>
  <c r="K304" i="1" s="1"/>
  <c r="N305" i="1"/>
  <c r="K305" i="1" s="1"/>
  <c r="N306" i="1"/>
  <c r="L306" i="1" s="1"/>
  <c r="N307" i="1"/>
  <c r="M307" i="1" s="1"/>
  <c r="N308" i="1"/>
  <c r="K308" i="1" s="1"/>
  <c r="N309" i="1"/>
  <c r="K309" i="1" s="1"/>
  <c r="N310" i="1"/>
  <c r="L310" i="1" s="1"/>
  <c r="N311" i="1"/>
  <c r="K311" i="1" s="1"/>
  <c r="N312" i="1"/>
  <c r="K312" i="1" s="1"/>
  <c r="N313" i="1"/>
  <c r="K313" i="1" s="1"/>
  <c r="N314" i="1"/>
  <c r="L314" i="1" s="1"/>
  <c r="N315" i="1"/>
  <c r="M315" i="1" s="1"/>
  <c r="N316" i="1"/>
  <c r="K316" i="1" s="1"/>
  <c r="N317" i="1"/>
  <c r="K317" i="1" s="1"/>
  <c r="N318" i="1"/>
  <c r="L318" i="1" s="1"/>
  <c r="N319" i="1"/>
  <c r="K319" i="1" s="1"/>
  <c r="N320" i="1"/>
  <c r="K320" i="1" s="1"/>
  <c r="N321" i="1"/>
  <c r="K321" i="1" s="1"/>
  <c r="N322" i="1"/>
  <c r="L322" i="1" s="1"/>
  <c r="N323" i="1"/>
  <c r="M323" i="1" s="1"/>
  <c r="N324" i="1"/>
  <c r="K324" i="1" s="1"/>
  <c r="N325" i="1"/>
  <c r="K325" i="1" s="1"/>
  <c r="N326" i="1"/>
  <c r="L326" i="1" s="1"/>
  <c r="N327" i="1"/>
  <c r="K327" i="1" s="1"/>
  <c r="N328" i="1"/>
  <c r="K328" i="1" s="1"/>
  <c r="N329" i="1"/>
  <c r="K329" i="1" s="1"/>
  <c r="N330" i="1"/>
  <c r="L330" i="1" s="1"/>
  <c r="N331" i="1"/>
  <c r="M331" i="1" s="1"/>
  <c r="N332" i="1"/>
  <c r="K332" i="1" s="1"/>
  <c r="N333" i="1"/>
  <c r="K333" i="1" s="1"/>
  <c r="N334" i="1"/>
  <c r="L334" i="1" s="1"/>
  <c r="N335" i="1"/>
  <c r="K335" i="1" s="1"/>
  <c r="N336" i="1"/>
  <c r="K336" i="1" s="1"/>
  <c r="N337" i="1"/>
  <c r="K337" i="1" s="1"/>
  <c r="N338" i="1"/>
  <c r="L338" i="1" s="1"/>
  <c r="N339" i="1"/>
  <c r="M339" i="1" s="1"/>
  <c r="N340" i="1"/>
  <c r="K340" i="1" s="1"/>
  <c r="N341" i="1"/>
  <c r="K341" i="1" s="1"/>
  <c r="N342" i="1"/>
  <c r="L342" i="1" s="1"/>
  <c r="N343" i="1"/>
  <c r="K343" i="1" s="1"/>
  <c r="N344" i="1"/>
  <c r="K344" i="1" s="1"/>
  <c r="N345" i="1"/>
  <c r="K345" i="1" s="1"/>
  <c r="N346" i="1"/>
  <c r="L346" i="1" s="1"/>
  <c r="N347" i="1"/>
  <c r="M347" i="1" s="1"/>
  <c r="N348" i="1"/>
  <c r="K348" i="1" s="1"/>
  <c r="N349" i="1"/>
  <c r="K349" i="1" s="1"/>
  <c r="N350" i="1"/>
  <c r="L350" i="1" s="1"/>
  <c r="N351" i="1"/>
  <c r="K351" i="1" s="1"/>
  <c r="N352" i="1"/>
  <c r="K352" i="1" s="1"/>
  <c r="N353" i="1"/>
  <c r="K353" i="1" s="1"/>
  <c r="N354" i="1"/>
  <c r="L354" i="1" s="1"/>
  <c r="N355" i="1"/>
  <c r="M355" i="1" s="1"/>
  <c r="N356" i="1"/>
  <c r="K356" i="1" s="1"/>
  <c r="N357" i="1"/>
  <c r="K357" i="1" s="1"/>
  <c r="N358" i="1"/>
  <c r="L358" i="1" s="1"/>
  <c r="N359" i="1"/>
  <c r="K359" i="1" s="1"/>
  <c r="N360" i="1"/>
  <c r="K360" i="1" s="1"/>
  <c r="N361" i="1"/>
  <c r="K361" i="1" s="1"/>
  <c r="N362" i="1"/>
  <c r="L362" i="1" s="1"/>
  <c r="N363" i="1"/>
  <c r="M363" i="1" s="1"/>
  <c r="N364" i="1"/>
  <c r="K364" i="1" s="1"/>
  <c r="N365" i="1"/>
  <c r="K365" i="1" s="1"/>
  <c r="N366" i="1"/>
  <c r="L366" i="1" s="1"/>
  <c r="N272" i="1"/>
  <c r="K272" i="1" s="1"/>
  <c r="N266" i="1"/>
  <c r="N267" i="1"/>
  <c r="N268" i="1"/>
  <c r="N269" i="1"/>
  <c r="N270" i="1"/>
  <c r="N271" i="1"/>
  <c r="D2" i="1"/>
  <c r="O4" i="1" l="1"/>
  <c r="O22" i="1"/>
  <c r="O27" i="1"/>
  <c r="O30" i="1"/>
  <c r="O46" i="1"/>
  <c r="O59" i="1"/>
  <c r="O80" i="1"/>
  <c r="L351" i="1"/>
  <c r="O31" i="1"/>
  <c r="O14" i="1"/>
  <c r="O35" i="1"/>
  <c r="O45" i="1"/>
  <c r="O54" i="1"/>
  <c r="O64" i="1"/>
  <c r="O70" i="1"/>
  <c r="O18" i="1"/>
  <c r="O78" i="1"/>
  <c r="O17" i="1"/>
  <c r="O2" i="1"/>
  <c r="O10" i="1"/>
  <c r="O32" i="1"/>
  <c r="O41" i="1"/>
  <c r="O50" i="1"/>
  <c r="O60" i="1"/>
  <c r="O74" i="1"/>
  <c r="O77" i="1"/>
  <c r="O81" i="1"/>
  <c r="M364" i="1"/>
  <c r="L279" i="1"/>
  <c r="O9" i="1"/>
  <c r="O58" i="1"/>
  <c r="O29" i="1"/>
  <c r="O39" i="1"/>
  <c r="O48" i="1"/>
  <c r="O57" i="1"/>
  <c r="O68" i="1"/>
  <c r="L343" i="1"/>
  <c r="O21" i="1"/>
  <c r="O3" i="1"/>
  <c r="O11" i="1"/>
  <c r="O23" i="1"/>
  <c r="O25" i="1"/>
  <c r="O33" i="1"/>
  <c r="O42" i="1"/>
  <c r="O61" i="1"/>
  <c r="O72" i="1"/>
  <c r="O82" i="1"/>
  <c r="K330" i="1"/>
  <c r="O330" i="1" s="1"/>
  <c r="O44" i="1"/>
  <c r="O15" i="1"/>
  <c r="O36" i="1"/>
  <c r="O55" i="1"/>
  <c r="O65" i="1"/>
  <c r="O79" i="1"/>
  <c r="K322" i="1"/>
  <c r="O13" i="1"/>
  <c r="O63" i="1"/>
  <c r="O20" i="1"/>
  <c r="O40" i="1"/>
  <c r="O49" i="1"/>
  <c r="O69" i="1"/>
  <c r="M308" i="1"/>
  <c r="O83" i="1"/>
  <c r="M300" i="1"/>
  <c r="O5" i="1"/>
  <c r="O52" i="1"/>
  <c r="O16" i="1"/>
  <c r="O28" i="1"/>
  <c r="O37" i="1"/>
  <c r="O47" i="1"/>
  <c r="O56" i="1"/>
  <c r="O66" i="1"/>
  <c r="L287" i="1"/>
  <c r="K362" i="1"/>
  <c r="M340" i="1"/>
  <c r="L319" i="1"/>
  <c r="K298" i="1"/>
  <c r="M276" i="1"/>
  <c r="L359" i="1"/>
  <c r="K338" i="1"/>
  <c r="M316" i="1"/>
  <c r="L295" i="1"/>
  <c r="M356" i="1"/>
  <c r="L335" i="1"/>
  <c r="K314" i="1"/>
  <c r="M292" i="1"/>
  <c r="K354" i="1"/>
  <c r="M332" i="1"/>
  <c r="L311" i="1"/>
  <c r="K290" i="1"/>
  <c r="O8" i="1"/>
  <c r="M348" i="1"/>
  <c r="L327" i="1"/>
  <c r="K306" i="1"/>
  <c r="O306" i="1" s="1"/>
  <c r="M284" i="1"/>
  <c r="M272" i="1"/>
  <c r="K346" i="1"/>
  <c r="M324" i="1"/>
  <c r="L303" i="1"/>
  <c r="K282" i="1"/>
  <c r="N261" i="1"/>
  <c r="N260" i="1"/>
  <c r="N265" i="1"/>
  <c r="N263" i="1"/>
  <c r="N262" i="1"/>
  <c r="N264" i="1"/>
  <c r="N259" i="1"/>
  <c r="N258" i="1"/>
  <c r="N257" i="1"/>
  <c r="N219" i="1"/>
  <c r="N223" i="1"/>
  <c r="N227" i="1"/>
  <c r="N230" i="1"/>
  <c r="N233" i="1"/>
  <c r="N236" i="1"/>
  <c r="N239" i="1"/>
  <c r="N242" i="1"/>
  <c r="N245" i="1"/>
  <c r="N248" i="1"/>
  <c r="N250" i="1"/>
  <c r="N253" i="1"/>
  <c r="N256" i="1"/>
  <c r="N220" i="1"/>
  <c r="N222" i="1"/>
  <c r="N225" i="1"/>
  <c r="N228" i="1"/>
  <c r="N231" i="1"/>
  <c r="N234" i="1"/>
  <c r="N237" i="1"/>
  <c r="N241" i="1"/>
  <c r="N244" i="1"/>
  <c r="N247" i="1"/>
  <c r="N251" i="1"/>
  <c r="N255" i="1"/>
  <c r="N221" i="1"/>
  <c r="N224" i="1"/>
  <c r="N226" i="1"/>
  <c r="N229" i="1"/>
  <c r="N232" i="1"/>
  <c r="N235" i="1"/>
  <c r="N238" i="1"/>
  <c r="N240" i="1"/>
  <c r="N243" i="1"/>
  <c r="N246" i="1"/>
  <c r="N249" i="1"/>
  <c r="N252" i="1"/>
  <c r="N254" i="1"/>
  <c r="O7" i="1"/>
  <c r="K366" i="1"/>
  <c r="L363" i="1"/>
  <c r="M360" i="1"/>
  <c r="K358" i="1"/>
  <c r="L355" i="1"/>
  <c r="M352" i="1"/>
  <c r="K350" i="1"/>
  <c r="L347" i="1"/>
  <c r="M344" i="1"/>
  <c r="K342" i="1"/>
  <c r="L339" i="1"/>
  <c r="M336" i="1"/>
  <c r="K334" i="1"/>
  <c r="L331" i="1"/>
  <c r="M328" i="1"/>
  <c r="K326" i="1"/>
  <c r="L323" i="1"/>
  <c r="M320" i="1"/>
  <c r="K318" i="1"/>
  <c r="L315" i="1"/>
  <c r="M312" i="1"/>
  <c r="K310" i="1"/>
  <c r="L307" i="1"/>
  <c r="M304" i="1"/>
  <c r="K302" i="1"/>
  <c r="L299" i="1"/>
  <c r="M296" i="1"/>
  <c r="K294" i="1"/>
  <c r="L291" i="1"/>
  <c r="M288" i="1"/>
  <c r="K286" i="1"/>
  <c r="L283" i="1"/>
  <c r="M280" i="1"/>
  <c r="K278" i="1"/>
  <c r="L275" i="1"/>
  <c r="M365" i="1"/>
  <c r="K363" i="1"/>
  <c r="L360" i="1"/>
  <c r="M357" i="1"/>
  <c r="K355" i="1"/>
  <c r="L352" i="1"/>
  <c r="O352" i="1" s="1"/>
  <c r="M349" i="1"/>
  <c r="K347" i="1"/>
  <c r="L344" i="1"/>
  <c r="M341" i="1"/>
  <c r="K339" i="1"/>
  <c r="L336" i="1"/>
  <c r="M333" i="1"/>
  <c r="K331" i="1"/>
  <c r="O331" i="1" s="1"/>
  <c r="L328" i="1"/>
  <c r="O328" i="1" s="1"/>
  <c r="M325" i="1"/>
  <c r="K323" i="1"/>
  <c r="L320" i="1"/>
  <c r="M317" i="1"/>
  <c r="K315" i="1"/>
  <c r="L312" i="1"/>
  <c r="M309" i="1"/>
  <c r="K307" i="1"/>
  <c r="O307" i="1" s="1"/>
  <c r="L304" i="1"/>
  <c r="M301" i="1"/>
  <c r="K299" i="1"/>
  <c r="L296" i="1"/>
  <c r="M293" i="1"/>
  <c r="K291" i="1"/>
  <c r="L288" i="1"/>
  <c r="O288" i="1" s="1"/>
  <c r="M285" i="1"/>
  <c r="K283" i="1"/>
  <c r="L280" i="1"/>
  <c r="M277" i="1"/>
  <c r="K275" i="1"/>
  <c r="L365" i="1"/>
  <c r="M362" i="1"/>
  <c r="L357" i="1"/>
  <c r="M354" i="1"/>
  <c r="L349" i="1"/>
  <c r="M346" i="1"/>
  <c r="L341" i="1"/>
  <c r="O341" i="1" s="1"/>
  <c r="M338" i="1"/>
  <c r="L333" i="1"/>
  <c r="M330" i="1"/>
  <c r="L325" i="1"/>
  <c r="M322" i="1"/>
  <c r="L317" i="1"/>
  <c r="O317" i="1" s="1"/>
  <c r="M314" i="1"/>
  <c r="L309" i="1"/>
  <c r="M306" i="1"/>
  <c r="L301" i="1"/>
  <c r="M298" i="1"/>
  <c r="L293" i="1"/>
  <c r="M290" i="1"/>
  <c r="L285" i="1"/>
  <c r="M282" i="1"/>
  <c r="L277" i="1"/>
  <c r="O277" i="1" s="1"/>
  <c r="M274" i="1"/>
  <c r="L272" i="1"/>
  <c r="O272" i="1" s="1"/>
  <c r="M359" i="1"/>
  <c r="M351" i="1"/>
  <c r="M343" i="1"/>
  <c r="M335" i="1"/>
  <c r="M327" i="1"/>
  <c r="M319" i="1"/>
  <c r="M311" i="1"/>
  <c r="M303" i="1"/>
  <c r="M295" i="1"/>
  <c r="M287" i="1"/>
  <c r="M279" i="1"/>
  <c r="O279" i="1" s="1"/>
  <c r="L274" i="1"/>
  <c r="O274" i="1" s="1"/>
  <c r="L364" i="1"/>
  <c r="O364" i="1" s="1"/>
  <c r="M361" i="1"/>
  <c r="L356" i="1"/>
  <c r="M353" i="1"/>
  <c r="L348" i="1"/>
  <c r="O348" i="1" s="1"/>
  <c r="M345" i="1"/>
  <c r="L340" i="1"/>
  <c r="O340" i="1" s="1"/>
  <c r="M337" i="1"/>
  <c r="L332" i="1"/>
  <c r="O332" i="1" s="1"/>
  <c r="M329" i="1"/>
  <c r="L324" i="1"/>
  <c r="O324" i="1" s="1"/>
  <c r="M321" i="1"/>
  <c r="L316" i="1"/>
  <c r="M313" i="1"/>
  <c r="L308" i="1"/>
  <c r="M305" i="1"/>
  <c r="L300" i="1"/>
  <c r="M297" i="1"/>
  <c r="L292" i="1"/>
  <c r="M289" i="1"/>
  <c r="L284" i="1"/>
  <c r="M281" i="1"/>
  <c r="L276" i="1"/>
  <c r="O276" i="1" s="1"/>
  <c r="M273" i="1"/>
  <c r="M366" i="1"/>
  <c r="L361" i="1"/>
  <c r="O361" i="1" s="1"/>
  <c r="M358" i="1"/>
  <c r="L353" i="1"/>
  <c r="O353" i="1" s="1"/>
  <c r="M350" i="1"/>
  <c r="L345" i="1"/>
  <c r="O345" i="1" s="1"/>
  <c r="M342" i="1"/>
  <c r="L337" i="1"/>
  <c r="O337" i="1" s="1"/>
  <c r="M334" i="1"/>
  <c r="L329" i="1"/>
  <c r="M326" i="1"/>
  <c r="L321" i="1"/>
  <c r="O321" i="1" s="1"/>
  <c r="M318" i="1"/>
  <c r="L313" i="1"/>
  <c r="O313" i="1" s="1"/>
  <c r="M310" i="1"/>
  <c r="L305" i="1"/>
  <c r="O305" i="1" s="1"/>
  <c r="M302" i="1"/>
  <c r="L297" i="1"/>
  <c r="O297" i="1" s="1"/>
  <c r="M294" i="1"/>
  <c r="L289" i="1"/>
  <c r="O289" i="1" s="1"/>
  <c r="M286" i="1"/>
  <c r="L281" i="1"/>
  <c r="O281" i="1" s="1"/>
  <c r="M278" i="1"/>
  <c r="L273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85" i="1"/>
  <c r="N86" i="1"/>
  <c r="N87" i="1"/>
  <c r="N88" i="1"/>
  <c r="N89" i="1"/>
  <c r="N90" i="1"/>
  <c r="K90" i="1" s="1"/>
  <c r="O90" i="1" s="1"/>
  <c r="N91" i="1"/>
  <c r="K91" i="1" s="1"/>
  <c r="O91" i="1" s="1"/>
  <c r="N92" i="1"/>
  <c r="K92" i="1" s="1"/>
  <c r="O92" i="1" s="1"/>
  <c r="N93" i="1"/>
  <c r="K93" i="1" s="1"/>
  <c r="O93" i="1" s="1"/>
  <c r="N94" i="1"/>
  <c r="K94" i="1" s="1"/>
  <c r="O94" i="1" s="1"/>
  <c r="N95" i="1"/>
  <c r="K95" i="1" s="1"/>
  <c r="O95" i="1" s="1"/>
  <c r="N96" i="1"/>
  <c r="K96" i="1" s="1"/>
  <c r="O96" i="1" s="1"/>
  <c r="N97" i="1"/>
  <c r="K97" i="1" s="1"/>
  <c r="O97" i="1" s="1"/>
  <c r="N98" i="1"/>
  <c r="K98" i="1" s="1"/>
  <c r="O98" i="1" s="1"/>
  <c r="N99" i="1"/>
  <c r="K99" i="1" s="1"/>
  <c r="O99" i="1" s="1"/>
  <c r="N100" i="1"/>
  <c r="K100" i="1" s="1"/>
  <c r="O100" i="1" s="1"/>
  <c r="N101" i="1"/>
  <c r="N102" i="1"/>
  <c r="K102" i="1" s="1"/>
  <c r="O102" i="1" s="1"/>
  <c r="N103" i="1"/>
  <c r="K103" i="1" s="1"/>
  <c r="O103" i="1" s="1"/>
  <c r="N104" i="1"/>
  <c r="K104" i="1" s="1"/>
  <c r="O104" i="1" s="1"/>
  <c r="N105" i="1"/>
  <c r="K105" i="1" s="1"/>
  <c r="O105" i="1" s="1"/>
  <c r="N106" i="1"/>
  <c r="K106" i="1" s="1"/>
  <c r="O106" i="1" s="1"/>
  <c r="N107" i="1"/>
  <c r="K107" i="1" s="1"/>
  <c r="O107" i="1" s="1"/>
  <c r="N108" i="1"/>
  <c r="K108" i="1" s="1"/>
  <c r="O108" i="1" s="1"/>
  <c r="N109" i="1"/>
  <c r="K109" i="1" s="1"/>
  <c r="O109" i="1" s="1"/>
  <c r="N110" i="1"/>
  <c r="K110" i="1" s="1"/>
  <c r="O110" i="1" s="1"/>
  <c r="N111" i="1"/>
  <c r="K111" i="1" s="1"/>
  <c r="O111" i="1" s="1"/>
  <c r="N112" i="1"/>
  <c r="K112" i="1" s="1"/>
  <c r="O112" i="1" s="1"/>
  <c r="N113" i="1"/>
  <c r="K113" i="1" s="1"/>
  <c r="O113" i="1" s="1"/>
  <c r="N114" i="1"/>
  <c r="K114" i="1" s="1"/>
  <c r="O114" i="1" s="1"/>
  <c r="N115" i="1"/>
  <c r="K115" i="1" s="1"/>
  <c r="O115" i="1" s="1"/>
  <c r="N116" i="1"/>
  <c r="K116" i="1" s="1"/>
  <c r="O116" i="1" s="1"/>
  <c r="N117" i="1"/>
  <c r="K117" i="1" s="1"/>
  <c r="O117" i="1" s="1"/>
  <c r="N118" i="1"/>
  <c r="K118" i="1" s="1"/>
  <c r="O118" i="1" s="1"/>
  <c r="N119" i="1"/>
  <c r="K119" i="1" s="1"/>
  <c r="O119" i="1" s="1"/>
  <c r="N120" i="1"/>
  <c r="K120" i="1" s="1"/>
  <c r="O120" i="1" s="1"/>
  <c r="N121" i="1"/>
  <c r="K121" i="1" s="1"/>
  <c r="O121" i="1" s="1"/>
  <c r="N122" i="1"/>
  <c r="K122" i="1" s="1"/>
  <c r="O122" i="1" s="1"/>
  <c r="N123" i="1"/>
  <c r="K123" i="1" s="1"/>
  <c r="O123" i="1" s="1"/>
  <c r="N124" i="1"/>
  <c r="K124" i="1" s="1"/>
  <c r="O124" i="1" s="1"/>
  <c r="N125" i="1"/>
  <c r="K125" i="1" s="1"/>
  <c r="O125" i="1" s="1"/>
  <c r="N126" i="1"/>
  <c r="K126" i="1" s="1"/>
  <c r="O126" i="1" s="1"/>
  <c r="N127" i="1"/>
  <c r="K127" i="1" s="1"/>
  <c r="O127" i="1" s="1"/>
  <c r="N128" i="1"/>
  <c r="K128" i="1" s="1"/>
  <c r="O128" i="1" s="1"/>
  <c r="N129" i="1"/>
  <c r="N130" i="1"/>
  <c r="N131" i="1"/>
  <c r="K131" i="1" s="1"/>
  <c r="O131" i="1" s="1"/>
  <c r="N132" i="1"/>
  <c r="K132" i="1" s="1"/>
  <c r="O132" i="1" s="1"/>
  <c r="N133" i="1"/>
  <c r="N134" i="1"/>
  <c r="K134" i="1" s="1"/>
  <c r="O134" i="1" s="1"/>
  <c r="N135" i="1"/>
  <c r="K135" i="1" s="1"/>
  <c r="O135" i="1" s="1"/>
  <c r="N136" i="1"/>
  <c r="K136" i="1" s="1"/>
  <c r="O136" i="1" s="1"/>
  <c r="N137" i="1"/>
  <c r="K137" i="1" s="1"/>
  <c r="O137" i="1" s="1"/>
  <c r="N138" i="1"/>
  <c r="K138" i="1" s="1"/>
  <c r="O138" i="1" s="1"/>
  <c r="N139" i="1"/>
  <c r="K139" i="1" s="1"/>
  <c r="O139" i="1" s="1"/>
  <c r="N140" i="1"/>
  <c r="K140" i="1" s="1"/>
  <c r="O140" i="1" s="1"/>
  <c r="N141" i="1"/>
  <c r="N142" i="1"/>
  <c r="K142" i="1" s="1"/>
  <c r="O142" i="1" s="1"/>
  <c r="N143" i="1"/>
  <c r="K143" i="1" s="1"/>
  <c r="O143" i="1" s="1"/>
  <c r="N144" i="1"/>
  <c r="K144" i="1" s="1"/>
  <c r="O144" i="1" s="1"/>
  <c r="N84" i="1"/>
  <c r="K84" i="1" s="1"/>
  <c r="O84" i="1" s="1"/>
  <c r="O322" i="1" l="1"/>
  <c r="O293" i="1"/>
  <c r="O357" i="1"/>
  <c r="O333" i="1"/>
  <c r="O356" i="1"/>
  <c r="O351" i="1"/>
  <c r="O280" i="1"/>
  <c r="O302" i="1"/>
  <c r="O366" i="1"/>
  <c r="O327" i="1"/>
  <c r="O314" i="1"/>
  <c r="O298" i="1"/>
  <c r="O326" i="1"/>
  <c r="O273" i="1"/>
  <c r="O325" i="1"/>
  <c r="O360" i="1"/>
  <c r="O343" i="1"/>
  <c r="O287" i="1"/>
  <c r="O309" i="1"/>
  <c r="O320" i="1"/>
  <c r="O311" i="1"/>
  <c r="O300" i="1"/>
  <c r="O291" i="1"/>
  <c r="O355" i="1"/>
  <c r="O301" i="1"/>
  <c r="O365" i="1"/>
  <c r="O315" i="1"/>
  <c r="O336" i="1"/>
  <c r="O303" i="1"/>
  <c r="O316" i="1"/>
  <c r="O312" i="1"/>
  <c r="O282" i="1"/>
  <c r="O319" i="1"/>
  <c r="O295" i="1"/>
  <c r="O329" i="1"/>
  <c r="O344" i="1"/>
  <c r="O335" i="1"/>
  <c r="O285" i="1"/>
  <c r="O349" i="1"/>
  <c r="O283" i="1"/>
  <c r="O304" i="1"/>
  <c r="O347" i="1"/>
  <c r="O296" i="1"/>
  <c r="O318" i="1"/>
  <c r="O354" i="1"/>
  <c r="O359" i="1"/>
  <c r="O308" i="1"/>
  <c r="O278" i="1"/>
  <c r="O286" i="1"/>
  <c r="O350" i="1"/>
  <c r="O292" i="1"/>
  <c r="O275" i="1"/>
  <c r="O339" i="1"/>
  <c r="O310" i="1"/>
  <c r="O290" i="1"/>
  <c r="O362" i="1"/>
  <c r="O299" i="1"/>
  <c r="O363" i="1"/>
  <c r="O334" i="1"/>
  <c r="O346" i="1"/>
  <c r="O342" i="1"/>
  <c r="O284" i="1"/>
  <c r="O323" i="1"/>
  <c r="O294" i="1"/>
  <c r="O358" i="1"/>
  <c r="O338" i="1"/>
  <c r="L157" i="1"/>
  <c r="K157" i="1"/>
  <c r="M157" i="1"/>
  <c r="K158" i="1"/>
  <c r="L158" i="1"/>
  <c r="M158" i="1"/>
  <c r="K159" i="1"/>
  <c r="M159" i="1"/>
  <c r="L159" i="1"/>
  <c r="L160" i="1"/>
  <c r="K160" i="1"/>
  <c r="M160" i="1"/>
  <c r="M161" i="1"/>
  <c r="K161" i="1"/>
  <c r="L161" i="1"/>
  <c r="L162" i="1"/>
  <c r="K162" i="1"/>
  <c r="M162" i="1"/>
  <c r="K163" i="1"/>
  <c r="L163" i="1"/>
  <c r="M163" i="1"/>
  <c r="L164" i="1"/>
  <c r="M164" i="1"/>
  <c r="K164" i="1"/>
  <c r="L165" i="1"/>
  <c r="K165" i="1"/>
  <c r="M165" i="1"/>
  <c r="M166" i="1"/>
  <c r="L166" i="1"/>
  <c r="K166" i="1"/>
  <c r="M167" i="1"/>
  <c r="L167" i="1"/>
  <c r="K167" i="1"/>
  <c r="K168" i="1"/>
  <c r="M168" i="1"/>
  <c r="L168" i="1"/>
  <c r="M169" i="1"/>
  <c r="L169" i="1"/>
  <c r="K169" i="1"/>
  <c r="M170" i="1"/>
  <c r="K170" i="1"/>
  <c r="L170" i="1"/>
  <c r="K171" i="1"/>
  <c r="L171" i="1"/>
  <c r="M171" i="1"/>
  <c r="K172" i="1"/>
  <c r="L172" i="1"/>
  <c r="M172" i="1"/>
  <c r="K173" i="1"/>
  <c r="L173" i="1"/>
  <c r="M173" i="1"/>
  <c r="K174" i="1"/>
  <c r="L174" i="1"/>
  <c r="M174" i="1"/>
  <c r="K175" i="1"/>
  <c r="M175" i="1"/>
  <c r="L175" i="1"/>
  <c r="M176" i="1"/>
  <c r="L176" i="1"/>
  <c r="K176" i="1"/>
  <c r="K177" i="1"/>
  <c r="L177" i="1"/>
  <c r="M177" i="1"/>
  <c r="K178" i="1"/>
  <c r="L178" i="1"/>
  <c r="M178" i="1"/>
  <c r="K179" i="1"/>
  <c r="M179" i="1"/>
  <c r="L179" i="1"/>
  <c r="K180" i="1"/>
  <c r="L180" i="1"/>
  <c r="M180" i="1"/>
  <c r="M181" i="1"/>
  <c r="K181" i="1"/>
  <c r="L181" i="1"/>
  <c r="M182" i="1"/>
  <c r="L182" i="1"/>
  <c r="K182" i="1"/>
  <c r="M183" i="1"/>
  <c r="L183" i="1"/>
  <c r="K183" i="1"/>
  <c r="K184" i="1"/>
  <c r="M184" i="1"/>
  <c r="L184" i="1"/>
  <c r="K185" i="1"/>
  <c r="L185" i="1"/>
  <c r="M185" i="1"/>
  <c r="L186" i="1"/>
  <c r="M186" i="1"/>
  <c r="K186" i="1"/>
  <c r="M187" i="1"/>
  <c r="L187" i="1"/>
  <c r="K187" i="1"/>
  <c r="M188" i="1"/>
  <c r="L188" i="1"/>
  <c r="K188" i="1"/>
  <c r="K189" i="1"/>
  <c r="M189" i="1"/>
  <c r="L189" i="1"/>
  <c r="L190" i="1"/>
  <c r="M190" i="1"/>
  <c r="K190" i="1"/>
  <c r="K191" i="1"/>
  <c r="L191" i="1"/>
  <c r="M191" i="1"/>
  <c r="L192" i="1"/>
  <c r="M192" i="1"/>
  <c r="K192" i="1"/>
  <c r="L193" i="1"/>
  <c r="M193" i="1"/>
  <c r="K193" i="1"/>
  <c r="K194" i="1"/>
  <c r="M194" i="1"/>
  <c r="L194" i="1"/>
  <c r="L195" i="1"/>
  <c r="K195" i="1"/>
  <c r="M195" i="1"/>
  <c r="K196" i="1"/>
  <c r="L196" i="1"/>
  <c r="M196" i="1"/>
  <c r="K197" i="1"/>
  <c r="M197" i="1"/>
  <c r="L197" i="1"/>
  <c r="K198" i="1"/>
  <c r="L198" i="1"/>
  <c r="M198" i="1"/>
  <c r="L199" i="1"/>
  <c r="M199" i="1"/>
  <c r="K199" i="1"/>
  <c r="L200" i="1"/>
  <c r="M200" i="1"/>
  <c r="K200" i="1"/>
  <c r="K201" i="1"/>
  <c r="L201" i="1"/>
  <c r="M201" i="1"/>
  <c r="M202" i="1"/>
  <c r="L202" i="1"/>
  <c r="K202" i="1"/>
  <c r="K203" i="1"/>
  <c r="L203" i="1"/>
  <c r="M203" i="1"/>
  <c r="M204" i="1"/>
  <c r="K204" i="1"/>
  <c r="L204" i="1"/>
  <c r="K205" i="1"/>
  <c r="L205" i="1"/>
  <c r="M205" i="1"/>
  <c r="L206" i="1"/>
  <c r="M206" i="1"/>
  <c r="K206" i="1"/>
  <c r="M207" i="1"/>
  <c r="K207" i="1"/>
  <c r="L207" i="1"/>
  <c r="K208" i="1"/>
  <c r="L208" i="1"/>
  <c r="M208" i="1"/>
  <c r="L209" i="1"/>
  <c r="M209" i="1"/>
  <c r="K209" i="1"/>
  <c r="M210" i="1"/>
  <c r="L210" i="1"/>
  <c r="K210" i="1"/>
  <c r="M211" i="1"/>
  <c r="L211" i="1"/>
  <c r="K211" i="1"/>
  <c r="L212" i="1"/>
  <c r="M212" i="1"/>
  <c r="K212" i="1"/>
  <c r="L213" i="1"/>
  <c r="M213" i="1"/>
  <c r="K213" i="1"/>
  <c r="L214" i="1"/>
  <c r="M214" i="1"/>
  <c r="K214" i="1"/>
  <c r="K215" i="1"/>
  <c r="M215" i="1"/>
  <c r="L215" i="1"/>
  <c r="K216" i="1"/>
  <c r="L216" i="1"/>
  <c r="M216" i="1"/>
  <c r="M217" i="1"/>
  <c r="L217" i="1"/>
  <c r="K217" i="1"/>
  <c r="L145" i="1"/>
  <c r="K145" i="1"/>
  <c r="M145" i="1"/>
  <c r="K146" i="1"/>
  <c r="M146" i="1"/>
  <c r="L146" i="1"/>
  <c r="L147" i="1"/>
  <c r="M147" i="1"/>
  <c r="K147" i="1"/>
  <c r="M148" i="1"/>
  <c r="K148" i="1"/>
  <c r="L148" i="1"/>
  <c r="K149" i="1"/>
  <c r="M149" i="1"/>
  <c r="L149" i="1"/>
  <c r="K150" i="1"/>
  <c r="L150" i="1"/>
  <c r="M150" i="1"/>
  <c r="L151" i="1"/>
  <c r="K151" i="1"/>
  <c r="M151" i="1"/>
  <c r="K152" i="1"/>
  <c r="L152" i="1"/>
  <c r="M152" i="1"/>
  <c r="M153" i="1"/>
  <c r="K153" i="1"/>
  <c r="L153" i="1"/>
  <c r="L154" i="1"/>
  <c r="K154" i="1"/>
  <c r="M154" i="1"/>
  <c r="K155" i="1"/>
  <c r="L155" i="1"/>
  <c r="M155" i="1"/>
  <c r="K156" i="1"/>
  <c r="M156" i="1"/>
  <c r="L156" i="1"/>
  <c r="K88" i="1"/>
  <c r="L88" i="1"/>
  <c r="K87" i="1"/>
  <c r="L87" i="1"/>
  <c r="K86" i="1"/>
  <c r="L86" i="1"/>
  <c r="K141" i="1"/>
  <c r="L141" i="1"/>
  <c r="K133" i="1"/>
  <c r="L133" i="1"/>
  <c r="L101" i="1"/>
  <c r="K101" i="1"/>
  <c r="L85" i="1"/>
  <c r="K85" i="1"/>
  <c r="L130" i="1"/>
  <c r="K130" i="1"/>
  <c r="O130" i="1" s="1"/>
  <c r="L129" i="1"/>
  <c r="K129" i="1"/>
  <c r="K89" i="1"/>
  <c r="L89" i="1"/>
  <c r="O213" i="1" l="1"/>
  <c r="O210" i="1"/>
  <c r="O202" i="1"/>
  <c r="O214" i="1"/>
  <c r="O206" i="1"/>
  <c r="O129" i="1"/>
  <c r="O200" i="1"/>
  <c r="O192" i="1"/>
  <c r="O176" i="1"/>
  <c r="O190" i="1"/>
  <c r="O182" i="1"/>
  <c r="O166" i="1"/>
  <c r="O211" i="1"/>
  <c r="O85" i="1"/>
  <c r="O199" i="1"/>
  <c r="O183" i="1"/>
  <c r="O147" i="1"/>
  <c r="O212" i="1"/>
  <c r="O164" i="1"/>
  <c r="O101" i="1"/>
  <c r="O217" i="1"/>
  <c r="O209" i="1"/>
  <c r="O193" i="1"/>
  <c r="O169" i="1"/>
  <c r="O167" i="1"/>
  <c r="O89" i="1"/>
  <c r="O178" i="1"/>
  <c r="O188" i="1"/>
  <c r="O145" i="1"/>
  <c r="O151" i="1"/>
  <c r="O152" i="1"/>
  <c r="O88" i="1"/>
  <c r="O87" i="1"/>
  <c r="O86" i="1"/>
  <c r="O141" i="1"/>
  <c r="O133" i="1"/>
  <c r="O173" i="1"/>
  <c r="O174" i="1"/>
  <c r="O180" i="1"/>
  <c r="O181" i="1"/>
  <c r="O184" i="1"/>
  <c r="O189" i="1"/>
  <c r="O191" i="1"/>
  <c r="O194" i="1"/>
  <c r="O195" i="1"/>
  <c r="O186" i="1"/>
  <c r="O196" i="1"/>
  <c r="O197" i="1"/>
  <c r="O198" i="1"/>
  <c r="O201" i="1"/>
  <c r="O203" i="1"/>
  <c r="O204" i="1"/>
  <c r="O205" i="1"/>
  <c r="O207" i="1"/>
  <c r="O208" i="1"/>
  <c r="O215" i="1"/>
  <c r="O216" i="1"/>
  <c r="O148" i="1"/>
  <c r="O149" i="1"/>
  <c r="O146" i="1"/>
  <c r="O150" i="1"/>
  <c r="O177" i="1"/>
  <c r="O185" i="1"/>
  <c r="O153" i="1"/>
  <c r="O154" i="1"/>
  <c r="O155" i="1"/>
  <c r="O156" i="1"/>
  <c r="O157" i="1"/>
  <c r="O158" i="1"/>
  <c r="O159" i="1"/>
  <c r="O160" i="1"/>
  <c r="O161" i="1"/>
  <c r="O162" i="1"/>
  <c r="O163" i="1"/>
  <c r="O165" i="1"/>
  <c r="O168" i="1"/>
  <c r="O170" i="1"/>
  <c r="O171" i="1"/>
  <c r="O172" i="1"/>
  <c r="O175" i="1"/>
  <c r="O179" i="1"/>
  <c r="O187" i="1"/>
</calcChain>
</file>

<file path=xl/sharedStrings.xml><?xml version="1.0" encoding="utf-8"?>
<sst xmlns="http://schemas.openxmlformats.org/spreadsheetml/2006/main" count="2102" uniqueCount="302">
  <si>
    <t>Study</t>
  </si>
  <si>
    <t>Sample type</t>
  </si>
  <si>
    <t>Location</t>
  </si>
  <si>
    <t>Plastic type</t>
  </si>
  <si>
    <t>unit</t>
  </si>
  <si>
    <t>Transformed data (MP particles pr. Litre)</t>
  </si>
  <si>
    <t>Comment</t>
  </si>
  <si>
    <t>TFO5</t>
  </si>
  <si>
    <t>TF0012</t>
  </si>
  <si>
    <t>TF0360</t>
  </si>
  <si>
    <t>TF0010</t>
  </si>
  <si>
    <t>TF0113</t>
  </si>
  <si>
    <t>TF0213</t>
  </si>
  <si>
    <t>TF0256</t>
  </si>
  <si>
    <t>TF0271</t>
  </si>
  <si>
    <t>TF0286</t>
  </si>
  <si>
    <t>TF0284</t>
  </si>
  <si>
    <t>TF0240</t>
  </si>
  <si>
    <t>TF0242</t>
  </si>
  <si>
    <t>North_F3</t>
  </si>
  <si>
    <t>North_MS4</t>
  </si>
  <si>
    <t>W</t>
  </si>
  <si>
    <t>B</t>
  </si>
  <si>
    <t>S</t>
  </si>
  <si>
    <t>M</t>
  </si>
  <si>
    <t>2 - 7cm</t>
  </si>
  <si>
    <t>items L-1</t>
  </si>
  <si>
    <t>Trapping of Microplastics in Halocline and Turbidity Layers of the Semi-enclosed Baltic Sea</t>
  </si>
  <si>
    <t>ARH148001</t>
  </si>
  <si>
    <t>STOVSJ51013</t>
  </si>
  <si>
    <t>STO0401015</t>
  </si>
  <si>
    <t>STO0104015</t>
  </si>
  <si>
    <t>STO0104016</t>
  </si>
  <si>
    <t>RKB-RFMS1</t>
  </si>
  <si>
    <t>VEJ0004669</t>
  </si>
  <si>
    <t>ARH180002</t>
  </si>
  <si>
    <t>NSJ230015</t>
  </si>
  <si>
    <t>NSJ230016</t>
  </si>
  <si>
    <t>SYLBME5001</t>
  </si>
  <si>
    <t>FYNFAABORGFJ</t>
  </si>
  <si>
    <t>0-2cm</t>
  </si>
  <si>
    <t>295.8490566037736</t>
  </si>
  <si>
    <t>1304.1509433962265</t>
  </si>
  <si>
    <t>271.6981132075472</t>
  </si>
  <si>
    <t>676.2264150943397</t>
  </si>
  <si>
    <t>253.5849056603774</t>
  </si>
  <si>
    <t>615.8490566037736</t>
  </si>
  <si>
    <t>736.6037735849058</t>
  </si>
  <si>
    <t>368.3018867924529</t>
  </si>
  <si>
    <t>386.41509433962267</t>
  </si>
  <si>
    <t>1340.3773584905662</t>
  </si>
  <si>
    <t>633.9622641509435</t>
  </si>
  <si>
    <t>1014.34</t>
  </si>
  <si>
    <t>MP particles/litre wet sediment (top 2cm)</t>
  </si>
  <si>
    <t>MICROPLASTIC-LIKE PARTICLES IN SEABED SEDIMENTS FROM INNER DANISH WATERS 2015</t>
  </si>
  <si>
    <t>MICROPLASTIC-LIKE PARTICLES IN SEABED SEDIMENTS FROM INNER DANISH WATERS 2016</t>
  </si>
  <si>
    <t>MICROPLASTIC-LIKE PARTICLES IN SEABED SEDIMENTS FROM INNER DANISH WATERS 2017</t>
  </si>
  <si>
    <t>MICROPLASTIC-LIKE PARTICLES IN SEABED SEDIMENTS FROM INNER DANISH WATERS 2018</t>
  </si>
  <si>
    <t>MICROPLASTIC-LIKE PARTICLES IN SEABED SEDIMENTS FROM INNER DANISH WATERS 2019</t>
  </si>
  <si>
    <t>MICROPLASTIC-LIKE PARTICLES IN SEABED SEDIMENTS FROM INNER DANISH WATERS 2020</t>
  </si>
  <si>
    <t>MICROPLASTIC-LIKE PARTICLES IN SEABED SEDIMENTS FROM INNER DANISH WATERS 2021</t>
  </si>
  <si>
    <t>MICROPLASTIC-LIKE PARTICLES IN SEABED SEDIMENTS FROM INNER DANISH WATERS 2022</t>
  </si>
  <si>
    <t>MICROPLASTIC-LIKE PARTICLES IN SEABED SEDIMENTS FROM INNER DANISH WATERS 2023</t>
  </si>
  <si>
    <t>MICROPLASTIC-LIKE PARTICLES IN SEABED SEDIMENTS FROM INNER DANISH WATERS 2024</t>
  </si>
  <si>
    <t>MICROPLASTIC-LIKE PARTICLES IN SEABED SEDIMENTS FROM INNER DANISH WATERS 2025</t>
  </si>
  <si>
    <t>MICROPLASTIC-LIKE PARTICLES IN SEABED SEDIMENTS FROM INNER DANISH WATERS 2026</t>
  </si>
  <si>
    <t>Staion 1</t>
  </si>
  <si>
    <t>MP particles/Kg dry sediment</t>
  </si>
  <si>
    <t>Transformed depth</t>
  </si>
  <si>
    <t>unit depth</t>
  </si>
  <si>
    <t>m</t>
  </si>
  <si>
    <t>0-3cm</t>
  </si>
  <si>
    <t>Station 24</t>
  </si>
  <si>
    <t>Station 6</t>
  </si>
  <si>
    <t>3-4cm</t>
  </si>
  <si>
    <t>4-5cm</t>
  </si>
  <si>
    <t>5-6cm</t>
  </si>
  <si>
    <t>6-7cm</t>
  </si>
  <si>
    <t>7-8cm</t>
  </si>
  <si>
    <t>8-9cm</t>
  </si>
  <si>
    <t>9-10cm</t>
  </si>
  <si>
    <t>10-11cm</t>
  </si>
  <si>
    <t>11-12cm</t>
  </si>
  <si>
    <t>12-13cm</t>
  </si>
  <si>
    <t>13-14cm</t>
  </si>
  <si>
    <t>Station 11</t>
  </si>
  <si>
    <t>14-15cm</t>
  </si>
  <si>
    <t>15-16cm</t>
  </si>
  <si>
    <t>16-17cm</t>
  </si>
  <si>
    <t>17-18cm</t>
  </si>
  <si>
    <t>18-19cm</t>
  </si>
  <si>
    <t>Station 13</t>
  </si>
  <si>
    <t>Diving into the Depths: Uncovering Microplastics in Norwegian Coastal Sediment Cores</t>
  </si>
  <si>
    <t>Average Wet Density [g/cm^3]</t>
  </si>
  <si>
    <t>Water content [%]</t>
  </si>
  <si>
    <t>Dry bulk density [g/cm^3]</t>
  </si>
  <si>
    <t>porosity</t>
  </si>
  <si>
    <t>From article: Diving into the Depths: Uncovering Microplastics in Norwegian Coastal Sediment Cores</t>
  </si>
  <si>
    <t>Average Wet Density [kg/Litre]</t>
  </si>
  <si>
    <t>Dry Matter [%]</t>
  </si>
  <si>
    <t>Factor</t>
  </si>
  <si>
    <t>Baseline assessment of metal and microplastic pollution in sediments of a small‑sized harbor in western Baltic Sea (Kalmar, Sweden)</t>
  </si>
  <si>
    <t>Kalmar Guest Harbor, located on the western coast of the central Baltic Sea</t>
  </si>
  <si>
    <t>SE-05</t>
  </si>
  <si>
    <t>nan</t>
  </si>
  <si>
    <t>SE-08</t>
  </si>
  <si>
    <t>Water depth at location</t>
  </si>
  <si>
    <t>Sampling Depth</t>
  </si>
  <si>
    <t>2-7cm</t>
  </si>
  <si>
    <t>Data on microplastic contamination of the Baltic Sea bottom sediment samples in 2015–2016</t>
  </si>
  <si>
    <t>boat-9</t>
  </si>
  <si>
    <t>boat-3</t>
  </si>
  <si>
    <t>boat-5</t>
  </si>
  <si>
    <t>boat-10</t>
  </si>
  <si>
    <t>boat-15</t>
  </si>
  <si>
    <t>boat-20</t>
  </si>
  <si>
    <t>boat-25</t>
  </si>
  <si>
    <t>boat-30</t>
  </si>
  <si>
    <t>NORD-1</t>
  </si>
  <si>
    <t>NORD-2</t>
  </si>
  <si>
    <t>NORD-3</t>
  </si>
  <si>
    <t>NORD-4</t>
  </si>
  <si>
    <t>Sht 131-001</t>
  </si>
  <si>
    <t>Sht 131-002</t>
  </si>
  <si>
    <t>Sht 131-003</t>
  </si>
  <si>
    <t>Sht 131-004</t>
  </si>
  <si>
    <t>Sht 131-006</t>
  </si>
  <si>
    <t>Sht 131-007</t>
  </si>
  <si>
    <t>Sht 131-008</t>
  </si>
  <si>
    <t>Sht 131-010</t>
  </si>
  <si>
    <t>Sht 131-011</t>
  </si>
  <si>
    <t>Sht 131-013</t>
  </si>
  <si>
    <t>Sht 131-014</t>
  </si>
  <si>
    <t>Sht 131-015</t>
  </si>
  <si>
    <t>Sht 131-016</t>
  </si>
  <si>
    <t>Sht 131-020</t>
  </si>
  <si>
    <t>Sht 131-021</t>
  </si>
  <si>
    <t>Sht 132-002</t>
  </si>
  <si>
    <t>Sht 132-003</t>
  </si>
  <si>
    <t>Sht 132-005</t>
  </si>
  <si>
    <t>Sht 132-008</t>
  </si>
  <si>
    <t>Sht 132-014</t>
  </si>
  <si>
    <t>Sht 132-016</t>
  </si>
  <si>
    <t>Sht 132-017</t>
  </si>
  <si>
    <t>ANS 32-061</t>
  </si>
  <si>
    <t>ANS 32-107</t>
  </si>
  <si>
    <t>ANS 32-108</t>
  </si>
  <si>
    <t>ANS 32-203</t>
  </si>
  <si>
    <t>ANS 32-208</t>
  </si>
  <si>
    <t>ANS 32-211</t>
  </si>
  <si>
    <t>ANS 32-227</t>
  </si>
  <si>
    <t>ANS 32-242</t>
  </si>
  <si>
    <t>ANS 32-284</t>
  </si>
  <si>
    <t>NORD-5</t>
  </si>
  <si>
    <t>NORD-6</t>
  </si>
  <si>
    <t>NORD-7</t>
  </si>
  <si>
    <t>NORD-8</t>
  </si>
  <si>
    <t>NORD-9</t>
  </si>
  <si>
    <t>NORD-10</t>
  </si>
  <si>
    <t>NORD-11</t>
  </si>
  <si>
    <t>NORD-12</t>
  </si>
  <si>
    <t>ANS 33-060</t>
  </si>
  <si>
    <t>Chronological evidence of microplastic accumulation and contamination onset in Central Baltic Sea sediments</t>
  </si>
  <si>
    <t>Anthropogenic microlitter in the Baltic Sea water column</t>
  </si>
  <si>
    <t xml:space="preserve">NORD1 54.7760 19.9545 </t>
  </si>
  <si>
    <t xml:space="preserve">NORD1 54.7763 19.9409 </t>
  </si>
  <si>
    <t xml:space="preserve">NORD1 54.7759 19.9259 </t>
  </si>
  <si>
    <t xml:space="preserve">NORD1 54.7762 19.9062 </t>
  </si>
  <si>
    <t xml:space="preserve">NORD1 54.8377 19.9404 </t>
  </si>
  <si>
    <t xml:space="preserve">NORD1 54.8369 19.9345 </t>
  </si>
  <si>
    <t xml:space="preserve">NORD1 54.8362 19.9211 </t>
  </si>
  <si>
    <t xml:space="preserve">NORD1 54.8357 19.9048 </t>
  </si>
  <si>
    <t xml:space="preserve">NORD2 54.9039 19.8896 </t>
  </si>
  <si>
    <t xml:space="preserve">NORD2 54.9037 19.9066 </t>
  </si>
  <si>
    <t xml:space="preserve">NORD2 54.9033 19.9201 </t>
  </si>
  <si>
    <t xml:space="preserve">NORD2 54.9025 19.9255 </t>
  </si>
  <si>
    <t xml:space="preserve">PSh131 54.8644 19.3500 </t>
  </si>
  <si>
    <t xml:space="preserve">PSh131 54.8544 19.3783 </t>
  </si>
  <si>
    <t xml:space="preserve">PSh131 55.0976 19.2268 </t>
  </si>
  <si>
    <t xml:space="preserve">PSh131 55.0982 19.2230 </t>
  </si>
  <si>
    <t xml:space="preserve">PSh131 55.3377 19.0980 </t>
  </si>
  <si>
    <t xml:space="preserve">PSh131 55.5850 19.0254 </t>
  </si>
  <si>
    <t xml:space="preserve">PSh131 55.5850 19.0242 </t>
  </si>
  <si>
    <t xml:space="preserve">PSh131 55.3910 20.5724 </t>
  </si>
  <si>
    <t xml:space="preserve">PSh131 55.3302 20.5600 </t>
  </si>
  <si>
    <t xml:space="preserve">PSh131 55.3002 20.1717 </t>
  </si>
  <si>
    <t xml:space="preserve">PSh131 55.1665 19.8332 </t>
  </si>
  <si>
    <t xml:space="preserve">PSh131 55.4705 19.3508 </t>
  </si>
  <si>
    <t xml:space="preserve">PSh131 55.5833 19.0333 </t>
  </si>
  <si>
    <t xml:space="preserve">PSh131 55.8751 18.9358 </t>
  </si>
  <si>
    <t xml:space="preserve">PSh131 55.8751 18.9372 </t>
  </si>
  <si>
    <t xml:space="preserve">PSh132 54.8662 19.3297 </t>
  </si>
  <si>
    <t xml:space="preserve">PSh132 55.1665 19.8330 </t>
  </si>
  <si>
    <t xml:space="preserve">PSh132 55.3768 19.8670 </t>
  </si>
  <si>
    <t xml:space="preserve">PSh132 55.3770 19.8693 </t>
  </si>
  <si>
    <t xml:space="preserve">PSh132 55.3000 20.1732 </t>
  </si>
  <si>
    <t xml:space="preserve">PSh132 55.3000 20.1733 </t>
  </si>
  <si>
    <t xml:space="preserve">PSh132 55.3302 20.5582 </t>
  </si>
  <si>
    <t xml:space="preserve">PSh132 55.3298 20.5570 </t>
  </si>
  <si>
    <t xml:space="preserve">PSh132 55.3927 20.5665 </t>
  </si>
  <si>
    <t xml:space="preserve">PSh132 55.3923 20.5668 </t>
  </si>
  <si>
    <t xml:space="preserve">PSh132 55.4700 20.3498 </t>
  </si>
  <si>
    <t xml:space="preserve">PSh132 55.4697 20.3495 </t>
  </si>
  <si>
    <t xml:space="preserve">PSh132 55.5835 20.0338 </t>
  </si>
  <si>
    <t xml:space="preserve">PSh132 55.5838 20.0337 </t>
  </si>
  <si>
    <t xml:space="preserve">PSh132 55.8747 18.9332 </t>
  </si>
  <si>
    <t xml:space="preserve">ANS32-1 54.8815 19.2959 </t>
  </si>
  <si>
    <t xml:space="preserve">ANS32-1 55.2978 18.4888 </t>
  </si>
  <si>
    <t xml:space="preserve">ANS32-1 55.3068 17.7833 </t>
  </si>
  <si>
    <t xml:space="preserve">ANS32-1 55.2268 17.2317 </t>
  </si>
  <si>
    <t xml:space="preserve">ANS32-1 55.2138 16.5628 </t>
  </si>
  <si>
    <t xml:space="preserve">ANS32-1 55.5362 15.3192 </t>
  </si>
  <si>
    <t xml:space="preserve">ANS32-1 55.3337 15.5775 </t>
  </si>
  <si>
    <t xml:space="preserve">ANS32-1 55.6096 18.0173 </t>
  </si>
  <si>
    <t xml:space="preserve">ANS32-3 56.0886 19.0008 </t>
  </si>
  <si>
    <t xml:space="preserve">ANS32-3 56.7115 19.3842 </t>
  </si>
  <si>
    <t xml:space="preserve">ANS32-3 57.3391 19.8906 </t>
  </si>
  <si>
    <t xml:space="preserve">ANS32-3 58.1236 19.7266 </t>
  </si>
  <si>
    <t xml:space="preserve">ANS32-3 58.8532 20.2837 </t>
  </si>
  <si>
    <t xml:space="preserve">ANS32-3 58.4005 20.3775 </t>
  </si>
  <si>
    <t xml:space="preserve">ANS32-3 57.9314 20.3341 </t>
  </si>
  <si>
    <t xml:space="preserve">ANS32-3 56.9212 19.5946 </t>
  </si>
  <si>
    <t xml:space="preserve">ANS32-3 56.4639 19.3023 </t>
  </si>
  <si>
    <t xml:space="preserve">7.7 </t>
  </si>
  <si>
    <t xml:space="preserve">67 </t>
  </si>
  <si>
    <t xml:space="preserve">46 </t>
  </si>
  <si>
    <t xml:space="preserve">45 </t>
  </si>
  <si>
    <t xml:space="preserve">77 </t>
  </si>
  <si>
    <t xml:space="preserve">4.8 </t>
  </si>
  <si>
    <t xml:space="preserve">10.2 </t>
  </si>
  <si>
    <t xml:space="preserve">16.3 </t>
  </si>
  <si>
    <t xml:space="preserve">19.6 </t>
  </si>
  <si>
    <t xml:space="preserve">5.1 </t>
  </si>
  <si>
    <t xml:space="preserve">10.1 </t>
  </si>
  <si>
    <t xml:space="preserve">17.9 </t>
  </si>
  <si>
    <t xml:space="preserve">6.6 </t>
  </si>
  <si>
    <t xml:space="preserve">10.8 </t>
  </si>
  <si>
    <t xml:space="preserve">10.3 </t>
  </si>
  <si>
    <t xml:space="preserve">100.6 </t>
  </si>
  <si>
    <t xml:space="preserve">70.5 </t>
  </si>
  <si>
    <t xml:space="preserve">9.8 </t>
  </si>
  <si>
    <t xml:space="preserve">94.7 </t>
  </si>
  <si>
    <t xml:space="preserve">63.7 </t>
  </si>
  <si>
    <t xml:space="preserve">6 </t>
  </si>
  <si>
    <t xml:space="preserve">76.6 </t>
  </si>
  <si>
    <t xml:space="preserve">6.7 </t>
  </si>
  <si>
    <t xml:space="preserve">80.5 </t>
  </si>
  <si>
    <t xml:space="preserve">62.1 </t>
  </si>
  <si>
    <t xml:space="preserve">4 </t>
  </si>
  <si>
    <t xml:space="preserve">1.6 </t>
  </si>
  <si>
    <t xml:space="preserve">30 </t>
  </si>
  <si>
    <t xml:space="preserve">10 </t>
  </si>
  <si>
    <t xml:space="preserve">44.7 </t>
  </si>
  <si>
    <t xml:space="preserve">61 </t>
  </si>
  <si>
    <t xml:space="preserve">10.6 </t>
  </si>
  <si>
    <t xml:space="preserve">40.5 </t>
  </si>
  <si>
    <t xml:space="preserve">10.5 </t>
  </si>
  <si>
    <t xml:space="preserve">103.4 </t>
  </si>
  <si>
    <t xml:space="preserve">2.8 </t>
  </si>
  <si>
    <t xml:space="preserve">102.5 </t>
  </si>
  <si>
    <t xml:space="preserve">1.5 </t>
  </si>
  <si>
    <t xml:space="preserve">64 </t>
  </si>
  <si>
    <t xml:space="preserve">1.8 </t>
  </si>
  <si>
    <t xml:space="preserve">85.3 </t>
  </si>
  <si>
    <t xml:space="preserve">1.3 </t>
  </si>
  <si>
    <t xml:space="preserve">90 </t>
  </si>
  <si>
    <t xml:space="preserve">42.5 </t>
  </si>
  <si>
    <t xml:space="preserve">1.7 </t>
  </si>
  <si>
    <t xml:space="preserve">27.7 </t>
  </si>
  <si>
    <t xml:space="preserve">1.1 </t>
  </si>
  <si>
    <t xml:space="preserve">29 </t>
  </si>
  <si>
    <t xml:space="preserve">32.8 </t>
  </si>
  <si>
    <t xml:space="preserve">0 </t>
  </si>
  <si>
    <t xml:space="preserve">71.5 </t>
  </si>
  <si>
    <t xml:space="preserve">0.5 </t>
  </si>
  <si>
    <t xml:space="preserve">74.5 </t>
  </si>
  <si>
    <t xml:space="preserve">78.5 </t>
  </si>
  <si>
    <t xml:space="preserve">52.5 </t>
  </si>
  <si>
    <t xml:space="preserve">68.5 </t>
  </si>
  <si>
    <t xml:space="preserve">86.5 </t>
  </si>
  <si>
    <t xml:space="preserve">60.5 </t>
  </si>
  <si>
    <t xml:space="preserve">118.5 </t>
  </si>
  <si>
    <t xml:space="preserve">129.5 </t>
  </si>
  <si>
    <t xml:space="preserve">217.5 </t>
  </si>
  <si>
    <t xml:space="preserve">144.5 </t>
  </si>
  <si>
    <t xml:space="preserve">162.5 </t>
  </si>
  <si>
    <t xml:space="preserve">119.5 </t>
  </si>
  <si>
    <t xml:space="preserve">97.5 </t>
  </si>
  <si>
    <t xml:space="preserve">143.5 </t>
  </si>
  <si>
    <t xml:space="preserve">120.5 </t>
  </si>
  <si>
    <t xml:space="preserve">0.7 </t>
  </si>
  <si>
    <t xml:space="preserve">33.9 </t>
  </si>
  <si>
    <t xml:space="preserve">41 </t>
  </si>
  <si>
    <t xml:space="preserve">1 </t>
  </si>
  <si>
    <t xml:space="preserve">75 </t>
  </si>
  <si>
    <t xml:space="preserve">0.8 </t>
  </si>
  <si>
    <t>Total Value</t>
  </si>
  <si>
    <t>Mp count [0-100μm[</t>
  </si>
  <si>
    <t>Mp count [100μm-500μm[</t>
  </si>
  <si>
    <t>Mp count [500μm-5mm[</t>
  </si>
  <si>
    <t>Dry bulk density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</si>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</sst>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0" fillId="0" borderId="6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2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 wrapText="1"/>
    </xf>
    <xf numFmtId="2" fontId="0" fillId="0" borderId="0" xfId="0" applyNumberFormat="1" applyAlignment="1">
      <alignment horizontal="left" wrapText="1"/>
    </xf>
    <xf numFmtId="1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812DFC15-3DA0-424E-999F-0B553E19E4E3}"/>
  </cellStyles>
  <dxfs count="17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6E4D81-0BB3-4442-AFD6-D1D5C5E01D60}" name="Table1" displayName="Table1" ref="A1:P366" totalsRowShown="0" headerRowDxfId="0" dataDxfId="1">
  <autoFilter ref="A1:P366" xr:uid="{3A6E4D81-0BB3-4442-AFD6-D1D5C5E01D60}">
    <filterColumn colId="2">
      <filters>
        <filter val="W"/>
      </filters>
    </filterColumn>
    <filterColumn colId="8">
      <filters>
        <filter val="0"/>
        <filter val="0,00"/>
        <filter val="0,01"/>
      </filters>
    </filterColumn>
  </autoFilter>
  <tableColumns count="16">
    <tableColumn id="1" xr3:uid="{4D4F169E-C79F-4DC7-AA8D-80FC7F088551}" name="Study" dataDxfId="16"/>
    <tableColumn id="2" xr3:uid="{03802F2C-9091-46DE-B9E5-52C5BC1C76C6}" name="Location" dataDxfId="15"/>
    <tableColumn id="3" xr3:uid="{F7B16CF9-046E-4297-B95A-3B45A94C80FF}" name="Sample type" dataDxfId="14"/>
    <tableColumn id="4" xr3:uid="{341C0EBF-3DE4-44BC-A5B6-5A805D9D55E8}" name="Water depth at location" dataDxfId="13"/>
    <tableColumn id="5" xr3:uid="{D46EE688-FD3C-4E14-82F8-EDA29E947DF5}" name="Sampling Depth" dataDxfId="12"/>
    <tableColumn id="6" xr3:uid="{E22F85DF-BDC9-4A66-BAE6-26B1E100CCC0}" name="Total Value" dataDxfId="11"/>
    <tableColumn id="7" xr3:uid="{EDAAFCBF-9010-4AEB-A7B3-6EA86D70638D}" name="unit" dataDxfId="10"/>
    <tableColumn id="8" xr3:uid="{DA73CA8F-9BD2-4B2A-9F6A-B8F0C17BE304}" name="Plastic type" dataDxfId="9"/>
    <tableColumn id="9" xr3:uid="{CABB694F-67D4-4D16-8B35-8ADECA0A1C02}" name="Transformed depth" dataDxfId="8"/>
    <tableColumn id="10" xr3:uid="{72219698-44BD-4E2A-BE9B-DA99CE3DDD00}" name="unit depth" dataDxfId="7"/>
    <tableColumn id="11" xr3:uid="{761FD07F-2E82-476A-A95B-61A4FEDA7701}" name="Mp count [0-100μm[" dataDxfId="6">
      <calculatedColumnFormula>0.02*N2</calculatedColumnFormula>
    </tableColumn>
    <tableColumn id="12" xr3:uid="{F4288BEA-61E5-4199-B33E-C9A2B6F698BC}" name="Mp count [100μm-500μm[" dataDxfId="5">
      <calculatedColumnFormula>0.9*N2</calculatedColumnFormula>
    </tableColumn>
    <tableColumn id="13" xr3:uid="{17F7C1B2-960A-461F-AFEF-A8D20844CC46}" name="Mp count [500μm-5mm[" dataDxfId="4">
      <calculatedColumnFormula>0.08*N2</calculatedColumnFormula>
    </tableColumn>
    <tableColumn id="14" xr3:uid="{22561494-A3D7-407C-B185-CA2A027F05E8}" name="Transformed data (MP particles pr. Litre)" dataDxfId="3">
      <calculatedColumnFormula>F2</calculatedColumnFormula>
    </tableColumn>
    <tableColumn id="15" xr3:uid="{60952734-BC84-4625-A419-262DAEEA2F12}" name="Comment" dataDxfId="2">
      <calculatedColumnFormula>SUM(K2:M2)</calculatedColumnFormula>
    </tableColumn>
    <tableColumn id="16" xr3:uid="{C57433DA-1F17-4D2E-8CAD-B80911D5A8ED}" name="Column1">
      <calculatedColumnFormula>I2/100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9ECF1-3C26-4AB6-A1C1-712AB9512C57}">
  <dimension ref="B1:F16"/>
  <sheetViews>
    <sheetView workbookViewId="0">
      <selection activeCell="F23" sqref="F23"/>
    </sheetView>
  </sheetViews>
  <sheetFormatPr defaultRowHeight="15" x14ac:dyDescent="0.25"/>
  <cols>
    <col min="2" max="2" width="14" bestFit="1" customWidth="1"/>
    <col min="3" max="4" width="28.42578125" bestFit="1" customWidth="1"/>
    <col min="5" max="6" width="24" bestFit="1" customWidth="1"/>
  </cols>
  <sheetData>
    <row r="1" spans="2:6" ht="15.75" thickBot="1" x14ac:dyDescent="0.3"/>
    <row r="2" spans="2:6" x14ac:dyDescent="0.25">
      <c r="C2" s="20" t="s">
        <v>97</v>
      </c>
      <c r="D2" s="21"/>
      <c r="E2" s="21"/>
      <c r="F2" s="22"/>
    </row>
    <row r="3" spans="2:6" ht="15.75" x14ac:dyDescent="0.25">
      <c r="C3" s="2" t="s">
        <v>93</v>
      </c>
      <c r="D3" t="s">
        <v>94</v>
      </c>
      <c r="E3" s="1" t="s">
        <v>96</v>
      </c>
      <c r="F3" s="3" t="s">
        <v>95</v>
      </c>
    </row>
    <row r="4" spans="2:6" ht="15.75" thickBot="1" x14ac:dyDescent="0.3">
      <c r="C4" s="4">
        <v>1.5896923308862616</v>
      </c>
      <c r="D4" s="5">
        <v>59.811640382883439</v>
      </c>
      <c r="E4" s="5">
        <v>0.59811640382883502</v>
      </c>
      <c r="F4" s="6">
        <v>0.99157592705742703</v>
      </c>
    </row>
    <row r="6" spans="2:6" x14ac:dyDescent="0.25">
      <c r="B6" t="s">
        <v>99</v>
      </c>
      <c r="C6" t="s">
        <v>300</v>
      </c>
      <c r="D6" t="s">
        <v>98</v>
      </c>
      <c r="E6" t="s">
        <v>100</v>
      </c>
    </row>
    <row r="7" spans="2:6" x14ac:dyDescent="0.25">
      <c r="B7" s="7">
        <f>1-D4/100</f>
        <v>0.40188359617116565</v>
      </c>
      <c r="C7">
        <f>F4</f>
        <v>0.99157592705742703</v>
      </c>
      <c r="D7" s="7">
        <v>1.5896923308862601</v>
      </c>
      <c r="E7" s="7">
        <f>B7*D7</f>
        <v>0.63887127074229277</v>
      </c>
    </row>
    <row r="16" spans="2:6" x14ac:dyDescent="0.25">
      <c r="F16">
        <f>F4/D7</f>
        <v>0.62375335641496077</v>
      </c>
    </row>
  </sheetData>
  <mergeCells count="1">
    <mergeCell ref="C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6"/>
  <sheetViews>
    <sheetView tabSelected="1" topLeftCell="B1" zoomScale="85" zoomScaleNormal="85" workbookViewId="0">
      <selection activeCell="N2" sqref="N2:N334"/>
    </sheetView>
  </sheetViews>
  <sheetFormatPr defaultRowHeight="15" x14ac:dyDescent="0.25"/>
  <cols>
    <col min="1" max="1" width="121.5703125" bestFit="1" customWidth="1"/>
    <col min="2" max="2" width="21.85546875" customWidth="1"/>
    <col min="3" max="3" width="14.42578125" customWidth="1"/>
    <col min="4" max="4" width="25" style="9" customWidth="1"/>
    <col min="5" max="5" width="17.85546875" style="7" customWidth="1"/>
    <col min="6" max="6" width="13.7109375" customWidth="1"/>
    <col min="7" max="7" width="18.28515625" style="7" bestFit="1" customWidth="1"/>
    <col min="8" max="8" width="13.5703125" customWidth="1"/>
    <col min="9" max="9" width="20.7109375" customWidth="1"/>
    <col min="10" max="10" width="37.42578125" bestFit="1" customWidth="1"/>
    <col min="11" max="11" width="21" customWidth="1"/>
    <col min="12" max="12" width="25.85546875" customWidth="1"/>
    <col min="13" max="13" width="24.42578125" customWidth="1"/>
    <col min="14" max="14" width="40" customWidth="1"/>
    <col min="15" max="15" width="11.7109375" customWidth="1"/>
    <col min="16" max="16" width="11.140625" customWidth="1"/>
  </cols>
  <sheetData>
    <row r="1" spans="1:16" x14ac:dyDescent="0.25">
      <c r="A1" s="10" t="s">
        <v>0</v>
      </c>
      <c r="B1" s="10" t="s">
        <v>2</v>
      </c>
      <c r="C1" s="10" t="s">
        <v>1</v>
      </c>
      <c r="D1" s="10" t="s">
        <v>106</v>
      </c>
      <c r="E1" s="11" t="s">
        <v>107</v>
      </c>
      <c r="F1" s="10" t="s">
        <v>296</v>
      </c>
      <c r="G1" s="10" t="s">
        <v>4</v>
      </c>
      <c r="H1" s="10" t="s">
        <v>3</v>
      </c>
      <c r="I1" s="11" t="s">
        <v>68</v>
      </c>
      <c r="J1" s="10" t="s">
        <v>69</v>
      </c>
      <c r="K1" s="10" t="s">
        <v>297</v>
      </c>
      <c r="L1" s="10" t="s">
        <v>298</v>
      </c>
      <c r="M1" s="10" t="s">
        <v>299</v>
      </c>
      <c r="N1" s="10" t="s">
        <v>5</v>
      </c>
      <c r="O1" s="10" t="s">
        <v>6</v>
      </c>
      <c r="P1" t="s">
        <v>301</v>
      </c>
    </row>
    <row r="2" spans="1:16" x14ac:dyDescent="0.25">
      <c r="A2" s="12" t="s">
        <v>27</v>
      </c>
      <c r="B2" s="13" t="s">
        <v>7</v>
      </c>
      <c r="C2" s="10" t="s">
        <v>21</v>
      </c>
      <c r="D2" s="10">
        <f>E4</f>
        <v>12</v>
      </c>
      <c r="E2" s="14">
        <v>0</v>
      </c>
      <c r="F2" s="10">
        <v>7.62</v>
      </c>
      <c r="G2" s="10" t="s">
        <v>26</v>
      </c>
      <c r="H2" s="10"/>
      <c r="I2" s="14">
        <v>0</v>
      </c>
      <c r="J2" s="13" t="s">
        <v>70</v>
      </c>
      <c r="K2" s="10">
        <f>0.18*N2</f>
        <v>1.3715999999999999</v>
      </c>
      <c r="L2" s="10">
        <f>0.4*N2</f>
        <v>3.048</v>
      </c>
      <c r="M2" s="10">
        <f>0.42*N2</f>
        <v>3.2004000000000001</v>
      </c>
      <c r="N2" s="10">
        <v>7.62</v>
      </c>
      <c r="O2" s="10">
        <f>SUM(K2:M2)</f>
        <v>7.62</v>
      </c>
    </row>
    <row r="3" spans="1:16" hidden="1" x14ac:dyDescent="0.25">
      <c r="A3" s="12" t="s">
        <v>27</v>
      </c>
      <c r="B3" s="13" t="s">
        <v>7</v>
      </c>
      <c r="C3" s="10" t="s">
        <v>21</v>
      </c>
      <c r="D3" s="10">
        <v>12</v>
      </c>
      <c r="E3" s="14">
        <v>6</v>
      </c>
      <c r="F3" s="10">
        <v>7.01</v>
      </c>
      <c r="G3" s="10" t="s">
        <v>26</v>
      </c>
      <c r="H3" s="10"/>
      <c r="I3" s="14">
        <v>6</v>
      </c>
      <c r="J3" s="13" t="s">
        <v>70</v>
      </c>
      <c r="K3" s="10">
        <f t="shared" ref="K3" si="0">0.18*N3</f>
        <v>1.2617999999999998</v>
      </c>
      <c r="L3" s="10">
        <f t="shared" ref="L3:L4" si="1">0.4*N3</f>
        <v>2.8040000000000003</v>
      </c>
      <c r="M3" s="10">
        <f t="shared" ref="M3:M4" si="2">0.42*N3</f>
        <v>2.9441999999999999</v>
      </c>
      <c r="N3" s="10">
        <v>7.01</v>
      </c>
      <c r="O3" s="10">
        <f t="shared" ref="O3:O66" si="3">SUM(K3:M3)</f>
        <v>7.01</v>
      </c>
    </row>
    <row r="4" spans="1:16" hidden="1" x14ac:dyDescent="0.25">
      <c r="A4" s="12" t="s">
        <v>27</v>
      </c>
      <c r="B4" s="13" t="s">
        <v>7</v>
      </c>
      <c r="C4" s="10" t="s">
        <v>22</v>
      </c>
      <c r="D4" s="10">
        <v>12</v>
      </c>
      <c r="E4" s="14">
        <v>12</v>
      </c>
      <c r="F4" s="10">
        <v>8.8000000000000007</v>
      </c>
      <c r="G4" s="10" t="s">
        <v>26</v>
      </c>
      <c r="H4" s="10"/>
      <c r="I4" s="14">
        <v>12</v>
      </c>
      <c r="J4" s="13" t="s">
        <v>70</v>
      </c>
      <c r="K4" s="10">
        <f>0.18*N4</f>
        <v>1.5840000000000001</v>
      </c>
      <c r="L4" s="10">
        <f t="shared" si="1"/>
        <v>3.5200000000000005</v>
      </c>
      <c r="M4" s="10">
        <f t="shared" si="2"/>
        <v>3.6960000000000002</v>
      </c>
      <c r="N4" s="10">
        <v>8.8000000000000007</v>
      </c>
      <c r="O4" s="10">
        <f t="shared" si="3"/>
        <v>8.8000000000000007</v>
      </c>
    </row>
    <row r="5" spans="1:16" hidden="1" x14ac:dyDescent="0.25">
      <c r="A5" s="12" t="s">
        <v>27</v>
      </c>
      <c r="B5" s="13" t="s">
        <v>7</v>
      </c>
      <c r="C5" s="10" t="s">
        <v>23</v>
      </c>
      <c r="D5" s="10">
        <v>12</v>
      </c>
      <c r="E5" s="14" t="s">
        <v>25</v>
      </c>
      <c r="F5" s="10">
        <v>0.5</v>
      </c>
      <c r="G5" s="10" t="s">
        <v>26</v>
      </c>
      <c r="H5" s="10"/>
      <c r="I5" s="14">
        <f>4.5/100</f>
        <v>4.4999999999999998E-2</v>
      </c>
      <c r="J5" s="13" t="s">
        <v>70</v>
      </c>
      <c r="K5" s="10">
        <f>0.35*N5</f>
        <v>0.17499999999999999</v>
      </c>
      <c r="L5" s="10">
        <f>0.4*N5</f>
        <v>0.2</v>
      </c>
      <c r="M5" s="10">
        <f>0.25*N5</f>
        <v>0.125</v>
      </c>
      <c r="N5" s="10">
        <v>0.5</v>
      </c>
      <c r="O5" s="10">
        <f t="shared" si="3"/>
        <v>0.5</v>
      </c>
    </row>
    <row r="6" spans="1:16" x14ac:dyDescent="0.25">
      <c r="A6" s="12" t="s">
        <v>27</v>
      </c>
      <c r="B6" s="13" t="s">
        <v>8</v>
      </c>
      <c r="C6" s="10" t="s">
        <v>21</v>
      </c>
      <c r="D6" s="10">
        <v>24</v>
      </c>
      <c r="E6" s="14">
        <v>0</v>
      </c>
      <c r="F6" s="10">
        <v>7.16</v>
      </c>
      <c r="G6" s="10" t="s">
        <v>26</v>
      </c>
      <c r="H6" s="10"/>
      <c r="I6" s="14">
        <v>0</v>
      </c>
      <c r="J6" s="13" t="s">
        <v>70</v>
      </c>
      <c r="K6" s="10">
        <v>1.3715999999999999</v>
      </c>
      <c r="L6" s="10">
        <v>3.048</v>
      </c>
      <c r="M6" s="10">
        <f>3.2004-0.46</f>
        <v>2.7404000000000002</v>
      </c>
      <c r="N6" s="10">
        <v>7.16</v>
      </c>
      <c r="O6" s="10">
        <f t="shared" si="3"/>
        <v>7.16</v>
      </c>
    </row>
    <row r="7" spans="1:16" hidden="1" x14ac:dyDescent="0.25">
      <c r="A7" s="12" t="s">
        <v>27</v>
      </c>
      <c r="B7" s="13" t="s">
        <v>8</v>
      </c>
      <c r="C7" s="10" t="s">
        <v>21</v>
      </c>
      <c r="D7" s="10">
        <v>24</v>
      </c>
      <c r="E7" s="14">
        <v>10</v>
      </c>
      <c r="F7" s="10">
        <v>3.01</v>
      </c>
      <c r="G7" s="10" t="s">
        <v>26</v>
      </c>
      <c r="H7" s="10"/>
      <c r="I7" s="14">
        <v>10</v>
      </c>
      <c r="J7" s="13" t="s">
        <v>70</v>
      </c>
      <c r="K7" s="10">
        <f>K6/$N6*$N7</f>
        <v>0.57660837988826807</v>
      </c>
      <c r="L7" s="10">
        <f t="shared" ref="L7" si="4">L6/$N6*$N7</f>
        <v>1.2813519553072625</v>
      </c>
      <c r="M7" s="10">
        <f>M6/$N6*$N7</f>
        <v>1.1520396648044691</v>
      </c>
      <c r="N7" s="10">
        <v>3.01</v>
      </c>
      <c r="O7" s="10">
        <f t="shared" si="3"/>
        <v>3.01</v>
      </c>
    </row>
    <row r="8" spans="1:16" hidden="1" x14ac:dyDescent="0.25">
      <c r="A8" s="12" t="s">
        <v>27</v>
      </c>
      <c r="B8" s="13" t="s">
        <v>8</v>
      </c>
      <c r="C8" s="10" t="s">
        <v>22</v>
      </c>
      <c r="D8" s="10">
        <v>24</v>
      </c>
      <c r="E8" s="14">
        <v>24</v>
      </c>
      <c r="F8" s="10">
        <v>3.9</v>
      </c>
      <c r="G8" s="10" t="s">
        <v>26</v>
      </c>
      <c r="H8" s="10"/>
      <c r="I8" s="14">
        <v>24</v>
      </c>
      <c r="J8" s="13" t="s">
        <v>70</v>
      </c>
      <c r="K8" s="10">
        <f>K7/$N7*$N8</f>
        <v>0.74710055865921776</v>
      </c>
      <c r="L8" s="10">
        <f t="shared" ref="L8" si="5">L7/$N7*$N8</f>
        <v>1.6602234636871507</v>
      </c>
      <c r="M8" s="10">
        <f>M7/$N7*$N8</f>
        <v>1.4926759776536309</v>
      </c>
      <c r="N8" s="10">
        <v>3.9</v>
      </c>
      <c r="O8" s="10">
        <f>SUM(K8:M8)</f>
        <v>3.8999999999999995</v>
      </c>
    </row>
    <row r="9" spans="1:16" hidden="1" x14ac:dyDescent="0.25">
      <c r="A9" s="12" t="s">
        <v>27</v>
      </c>
      <c r="B9" s="13" t="s">
        <v>8</v>
      </c>
      <c r="C9" s="10" t="s">
        <v>23</v>
      </c>
      <c r="D9" s="10">
        <v>24</v>
      </c>
      <c r="E9" s="14" t="s">
        <v>25</v>
      </c>
      <c r="F9" s="10">
        <v>1.5</v>
      </c>
      <c r="G9" s="10" t="s">
        <v>26</v>
      </c>
      <c r="H9" s="10"/>
      <c r="I9" s="14">
        <f>4.5/100</f>
        <v>4.4999999999999998E-2</v>
      </c>
      <c r="J9" s="13" t="s">
        <v>70</v>
      </c>
      <c r="K9" s="10">
        <f>0.35*N9</f>
        <v>0.52499999999999991</v>
      </c>
      <c r="L9" s="10">
        <f>0.4*N9</f>
        <v>0.60000000000000009</v>
      </c>
      <c r="M9" s="10">
        <f>0.25*N9</f>
        <v>0.375</v>
      </c>
      <c r="N9" s="10">
        <v>1.5</v>
      </c>
      <c r="O9" s="10">
        <f t="shared" si="3"/>
        <v>1.5</v>
      </c>
    </row>
    <row r="10" spans="1:16" x14ac:dyDescent="0.25">
      <c r="A10" s="12" t="s">
        <v>27</v>
      </c>
      <c r="B10" s="13" t="s">
        <v>9</v>
      </c>
      <c r="C10" s="10" t="s">
        <v>21</v>
      </c>
      <c r="D10" s="10">
        <v>17</v>
      </c>
      <c r="E10" s="14">
        <v>0</v>
      </c>
      <c r="F10" s="10">
        <v>4.83</v>
      </c>
      <c r="G10" s="10" t="s">
        <v>26</v>
      </c>
      <c r="H10" s="10"/>
      <c r="I10" s="14">
        <v>0</v>
      </c>
      <c r="J10" s="13" t="s">
        <v>70</v>
      </c>
      <c r="K10" s="10">
        <f t="shared" ref="K10:K12" si="6">0.18*N10</f>
        <v>0.86939999999999995</v>
      </c>
      <c r="L10" s="10">
        <f t="shared" ref="L10:L12" si="7">0.4*N10</f>
        <v>1.9320000000000002</v>
      </c>
      <c r="M10" s="10">
        <f t="shared" ref="M10:M12" si="8">0.42*N10</f>
        <v>2.0286</v>
      </c>
      <c r="N10" s="10">
        <v>4.83</v>
      </c>
      <c r="O10" s="10">
        <f t="shared" si="3"/>
        <v>4.83</v>
      </c>
    </row>
    <row r="11" spans="1:16" hidden="1" x14ac:dyDescent="0.25">
      <c r="A11" s="12" t="s">
        <v>27</v>
      </c>
      <c r="B11" s="13" t="s">
        <v>9</v>
      </c>
      <c r="C11" s="10" t="s">
        <v>21</v>
      </c>
      <c r="D11" s="10">
        <v>17</v>
      </c>
      <c r="E11" s="14">
        <v>10</v>
      </c>
      <c r="F11" s="10">
        <v>3.0100000000000002</v>
      </c>
      <c r="G11" s="10" t="s">
        <v>26</v>
      </c>
      <c r="H11" s="10"/>
      <c r="I11" s="14">
        <v>10</v>
      </c>
      <c r="J11" s="13" t="s">
        <v>70</v>
      </c>
      <c r="K11" s="10">
        <f t="shared" si="6"/>
        <v>0.54180000000000006</v>
      </c>
      <c r="L11" s="10">
        <f t="shared" si="7"/>
        <v>1.2040000000000002</v>
      </c>
      <c r="M11" s="10">
        <f t="shared" si="8"/>
        <v>1.2642</v>
      </c>
      <c r="N11" s="10">
        <v>3.0100000000000002</v>
      </c>
      <c r="O11" s="10">
        <f t="shared" si="3"/>
        <v>3.0100000000000002</v>
      </c>
    </row>
    <row r="12" spans="1:16" hidden="1" x14ac:dyDescent="0.25">
      <c r="A12" s="12" t="s">
        <v>27</v>
      </c>
      <c r="B12" s="13" t="s">
        <v>9</v>
      </c>
      <c r="C12" s="10" t="s">
        <v>22</v>
      </c>
      <c r="D12" s="10">
        <v>17</v>
      </c>
      <c r="E12" s="14">
        <v>17</v>
      </c>
      <c r="F12" s="10">
        <v>6.71</v>
      </c>
      <c r="G12" s="10" t="s">
        <v>26</v>
      </c>
      <c r="H12" s="10"/>
      <c r="I12" s="14">
        <v>17</v>
      </c>
      <c r="J12" s="13" t="s">
        <v>70</v>
      </c>
      <c r="K12" s="10">
        <f t="shared" si="6"/>
        <v>1.2078</v>
      </c>
      <c r="L12" s="10">
        <f t="shared" si="7"/>
        <v>2.6840000000000002</v>
      </c>
      <c r="M12" s="10">
        <f t="shared" si="8"/>
        <v>2.8182</v>
      </c>
      <c r="N12" s="10">
        <v>6.71</v>
      </c>
      <c r="O12" s="10">
        <f t="shared" si="3"/>
        <v>6.71</v>
      </c>
    </row>
    <row r="13" spans="1:16" hidden="1" x14ac:dyDescent="0.25">
      <c r="A13" s="12" t="s">
        <v>27</v>
      </c>
      <c r="B13" s="13" t="s">
        <v>9</v>
      </c>
      <c r="C13" s="10" t="s">
        <v>23</v>
      </c>
      <c r="D13" s="10">
        <v>17</v>
      </c>
      <c r="E13" s="14" t="s">
        <v>25</v>
      </c>
      <c r="F13" s="10">
        <v>0.4</v>
      </c>
      <c r="G13" s="10" t="s">
        <v>26</v>
      </c>
      <c r="H13" s="10"/>
      <c r="I13" s="14">
        <f>4.5/100</f>
        <v>4.4999999999999998E-2</v>
      </c>
      <c r="J13" s="13" t="s">
        <v>70</v>
      </c>
      <c r="K13" s="10">
        <f>0.35*N13</f>
        <v>0.13999999999999999</v>
      </c>
      <c r="L13" s="10">
        <f>0.4*N13</f>
        <v>0.16000000000000003</v>
      </c>
      <c r="M13" s="10">
        <f>0.25*N13</f>
        <v>0.1</v>
      </c>
      <c r="N13" s="10">
        <v>0.4</v>
      </c>
      <c r="O13" s="10">
        <f t="shared" si="3"/>
        <v>0.4</v>
      </c>
    </row>
    <row r="14" spans="1:16" x14ac:dyDescent="0.25">
      <c r="A14" s="12" t="s">
        <v>27</v>
      </c>
      <c r="B14" s="13" t="s">
        <v>10</v>
      </c>
      <c r="C14" s="10" t="s">
        <v>21</v>
      </c>
      <c r="D14" s="10">
        <v>27</v>
      </c>
      <c r="E14" s="14">
        <v>0</v>
      </c>
      <c r="F14" s="10">
        <v>11.85</v>
      </c>
      <c r="G14" s="10" t="s">
        <v>26</v>
      </c>
      <c r="H14" s="10"/>
      <c r="I14" s="14">
        <v>0</v>
      </c>
      <c r="J14" s="13" t="s">
        <v>70</v>
      </c>
      <c r="K14" s="10">
        <f t="shared" ref="K14:K16" si="9">0.18*N14</f>
        <v>2.133</v>
      </c>
      <c r="L14" s="10">
        <f t="shared" ref="L14:L16" si="10">0.4*N14</f>
        <v>4.74</v>
      </c>
      <c r="M14" s="10">
        <f t="shared" ref="M14:M16" si="11">0.42*N14</f>
        <v>4.9769999999999994</v>
      </c>
      <c r="N14" s="10">
        <v>11.85</v>
      </c>
      <c r="O14" s="10">
        <f t="shared" si="3"/>
        <v>11.85</v>
      </c>
    </row>
    <row r="15" spans="1:16" hidden="1" x14ac:dyDescent="0.25">
      <c r="A15" s="12" t="s">
        <v>27</v>
      </c>
      <c r="B15" s="13" t="s">
        <v>10</v>
      </c>
      <c r="C15" s="10" t="s">
        <v>21</v>
      </c>
      <c r="D15" s="10">
        <v>27</v>
      </c>
      <c r="E15" s="14">
        <v>20</v>
      </c>
      <c r="F15" s="10">
        <v>6.23</v>
      </c>
      <c r="G15" s="10" t="s">
        <v>26</v>
      </c>
      <c r="H15" s="10"/>
      <c r="I15" s="14">
        <v>20</v>
      </c>
      <c r="J15" s="13" t="s">
        <v>70</v>
      </c>
      <c r="K15" s="10">
        <f t="shared" si="9"/>
        <v>0</v>
      </c>
      <c r="L15" s="10">
        <f t="shared" si="10"/>
        <v>0</v>
      </c>
      <c r="M15" s="10">
        <f t="shared" si="11"/>
        <v>0</v>
      </c>
      <c r="N15" s="10"/>
      <c r="O15" s="10">
        <f t="shared" si="3"/>
        <v>0</v>
      </c>
    </row>
    <row r="16" spans="1:16" hidden="1" x14ac:dyDescent="0.25">
      <c r="A16" s="12" t="s">
        <v>27</v>
      </c>
      <c r="B16" s="13" t="s">
        <v>10</v>
      </c>
      <c r="C16" s="10" t="s">
        <v>22</v>
      </c>
      <c r="D16" s="10">
        <v>27</v>
      </c>
      <c r="E16" s="14">
        <v>27</v>
      </c>
      <c r="F16" s="10">
        <v>5.22</v>
      </c>
      <c r="G16" s="10" t="s">
        <v>26</v>
      </c>
      <c r="H16" s="10"/>
      <c r="I16" s="14">
        <v>27</v>
      </c>
      <c r="J16" s="13" t="s">
        <v>70</v>
      </c>
      <c r="K16" s="10">
        <f t="shared" si="9"/>
        <v>0.93959999999999988</v>
      </c>
      <c r="L16" s="10">
        <f t="shared" si="10"/>
        <v>2.0880000000000001</v>
      </c>
      <c r="M16" s="10">
        <f t="shared" si="11"/>
        <v>2.1923999999999997</v>
      </c>
      <c r="N16" s="10">
        <v>5.22</v>
      </c>
      <c r="O16" s="10">
        <f t="shared" si="3"/>
        <v>5.22</v>
      </c>
    </row>
    <row r="17" spans="1:15" hidden="1" x14ac:dyDescent="0.25">
      <c r="A17" s="12" t="s">
        <v>27</v>
      </c>
      <c r="B17" s="13" t="s">
        <v>10</v>
      </c>
      <c r="C17" s="10" t="s">
        <v>23</v>
      </c>
      <c r="D17" s="10">
        <v>27</v>
      </c>
      <c r="E17" s="14" t="s">
        <v>25</v>
      </c>
      <c r="F17" s="10">
        <v>0.5</v>
      </c>
      <c r="G17" s="10" t="s">
        <v>26</v>
      </c>
      <c r="H17" s="10"/>
      <c r="I17" s="14">
        <f>4.5/100</f>
        <v>4.4999999999999998E-2</v>
      </c>
      <c r="J17" s="13" t="s">
        <v>70</v>
      </c>
      <c r="K17" s="10">
        <f>0.35*N17</f>
        <v>0.17499999999999999</v>
      </c>
      <c r="L17" s="10">
        <f>0.4*N17</f>
        <v>0.2</v>
      </c>
      <c r="M17" s="10">
        <f>0.25*N17</f>
        <v>0.125</v>
      </c>
      <c r="N17" s="10">
        <v>0.5</v>
      </c>
      <c r="O17" s="10">
        <f t="shared" si="3"/>
        <v>0.5</v>
      </c>
    </row>
    <row r="18" spans="1:15" x14ac:dyDescent="0.25">
      <c r="A18" s="12" t="s">
        <v>27</v>
      </c>
      <c r="B18" s="13" t="s">
        <v>11</v>
      </c>
      <c r="C18" s="10" t="s">
        <v>21</v>
      </c>
      <c r="D18" s="10">
        <v>46</v>
      </c>
      <c r="E18" s="14">
        <v>0</v>
      </c>
      <c r="F18" s="10">
        <v>6.43</v>
      </c>
      <c r="G18" s="10" t="s">
        <v>26</v>
      </c>
      <c r="H18" s="10"/>
      <c r="I18" s="14">
        <v>0</v>
      </c>
      <c r="J18" s="13" t="s">
        <v>70</v>
      </c>
      <c r="K18" s="10">
        <f t="shared" ref="K18:K20" si="12">0.18*N18</f>
        <v>1.1574</v>
      </c>
      <c r="L18" s="10">
        <f t="shared" ref="L18:L20" si="13">0.4*N18</f>
        <v>2.5720000000000001</v>
      </c>
      <c r="M18" s="10">
        <f t="shared" ref="M18:M20" si="14">0.42*N18</f>
        <v>2.7005999999999997</v>
      </c>
      <c r="N18" s="10">
        <v>6.43</v>
      </c>
      <c r="O18" s="10">
        <f t="shared" si="3"/>
        <v>6.43</v>
      </c>
    </row>
    <row r="19" spans="1:15" hidden="1" x14ac:dyDescent="0.25">
      <c r="A19" s="12" t="s">
        <v>27</v>
      </c>
      <c r="B19" s="13" t="s">
        <v>11</v>
      </c>
      <c r="C19" s="10" t="s">
        <v>21</v>
      </c>
      <c r="D19" s="10">
        <v>46</v>
      </c>
      <c r="E19" s="14">
        <v>20</v>
      </c>
      <c r="F19" s="10">
        <v>9.9600000000000009</v>
      </c>
      <c r="G19" s="10" t="s">
        <v>26</v>
      </c>
      <c r="H19" s="10"/>
      <c r="I19" s="14">
        <v>20</v>
      </c>
      <c r="J19" s="13" t="s">
        <v>70</v>
      </c>
      <c r="K19" s="10"/>
      <c r="L19" s="10"/>
      <c r="M19" s="10"/>
      <c r="N19" s="10"/>
      <c r="O19" s="10">
        <f t="shared" si="3"/>
        <v>0</v>
      </c>
    </row>
    <row r="20" spans="1:15" hidden="1" x14ac:dyDescent="0.25">
      <c r="A20" s="12" t="s">
        <v>27</v>
      </c>
      <c r="B20" s="13" t="s">
        <v>11</v>
      </c>
      <c r="C20" s="10" t="s">
        <v>22</v>
      </c>
      <c r="D20" s="10">
        <v>46</v>
      </c>
      <c r="E20" s="14">
        <v>46</v>
      </c>
      <c r="F20" s="10">
        <v>10.72</v>
      </c>
      <c r="G20" s="10" t="s">
        <v>26</v>
      </c>
      <c r="H20" s="10"/>
      <c r="I20" s="14">
        <v>46</v>
      </c>
      <c r="J20" s="13" t="s">
        <v>70</v>
      </c>
      <c r="K20" s="10">
        <f t="shared" si="12"/>
        <v>1.9296</v>
      </c>
      <c r="L20" s="10">
        <f t="shared" si="13"/>
        <v>4.2880000000000003</v>
      </c>
      <c r="M20" s="10">
        <f t="shared" si="14"/>
        <v>4.5023999999999997</v>
      </c>
      <c r="N20" s="10">
        <v>10.72</v>
      </c>
      <c r="O20" s="10">
        <f t="shared" si="3"/>
        <v>10.719999999999999</v>
      </c>
    </row>
    <row r="21" spans="1:15" hidden="1" x14ac:dyDescent="0.25">
      <c r="A21" s="12" t="s">
        <v>27</v>
      </c>
      <c r="B21" s="13" t="s">
        <v>11</v>
      </c>
      <c r="C21" s="10" t="s">
        <v>23</v>
      </c>
      <c r="D21" s="10">
        <v>46</v>
      </c>
      <c r="E21" s="14" t="s">
        <v>25</v>
      </c>
      <c r="F21" s="10">
        <v>0.7</v>
      </c>
      <c r="G21" s="10" t="s">
        <v>26</v>
      </c>
      <c r="H21" s="10"/>
      <c r="I21" s="14">
        <f>4.5/100</f>
        <v>4.4999999999999998E-2</v>
      </c>
      <c r="J21" s="13" t="s">
        <v>70</v>
      </c>
      <c r="K21" s="10">
        <f>0.35*N21</f>
        <v>0.24499999999999997</v>
      </c>
      <c r="L21" s="10">
        <f>0.4*N21</f>
        <v>0.27999999999999997</v>
      </c>
      <c r="M21" s="10">
        <f>0.25*N21</f>
        <v>0.17499999999999999</v>
      </c>
      <c r="N21" s="10">
        <v>0.7</v>
      </c>
      <c r="O21" s="10">
        <f t="shared" si="3"/>
        <v>0.7</v>
      </c>
    </row>
    <row r="22" spans="1:15" x14ac:dyDescent="0.25">
      <c r="A22" s="12" t="s">
        <v>27</v>
      </c>
      <c r="B22" s="13" t="s">
        <v>12</v>
      </c>
      <c r="C22" s="10" t="s">
        <v>21</v>
      </c>
      <c r="D22" s="10">
        <v>88</v>
      </c>
      <c r="E22" s="14">
        <v>0</v>
      </c>
      <c r="F22" s="10">
        <v>14.77</v>
      </c>
      <c r="G22" s="10" t="s">
        <v>26</v>
      </c>
      <c r="H22" s="10"/>
      <c r="I22" s="14">
        <v>0</v>
      </c>
      <c r="J22" s="13" t="s">
        <v>70</v>
      </c>
      <c r="K22" s="10">
        <f t="shared" ref="K22:K24" si="15">0.18*N22</f>
        <v>2.6585999999999999</v>
      </c>
      <c r="L22" s="10">
        <f t="shared" ref="L22:L25" si="16">0.4*N22</f>
        <v>5.9080000000000004</v>
      </c>
      <c r="M22" s="10">
        <f t="shared" ref="M22:M70" si="17">0.42*N22</f>
        <v>6.2033999999999994</v>
      </c>
      <c r="N22" s="10">
        <v>14.77</v>
      </c>
      <c r="O22" s="10">
        <f t="shared" si="3"/>
        <v>14.77</v>
      </c>
    </row>
    <row r="23" spans="1:15" hidden="1" x14ac:dyDescent="0.25">
      <c r="A23" s="12" t="s">
        <v>27</v>
      </c>
      <c r="B23" s="13" t="s">
        <v>12</v>
      </c>
      <c r="C23" s="10" t="s">
        <v>21</v>
      </c>
      <c r="D23" s="10">
        <v>88</v>
      </c>
      <c r="E23" s="14">
        <v>20</v>
      </c>
      <c r="F23" s="10">
        <v>5.84</v>
      </c>
      <c r="G23" s="10" t="s">
        <v>26</v>
      </c>
      <c r="H23" s="10"/>
      <c r="I23" s="14">
        <v>20</v>
      </c>
      <c r="J23" s="13" t="s">
        <v>70</v>
      </c>
      <c r="K23" s="10">
        <f t="shared" si="15"/>
        <v>1.0511999999999999</v>
      </c>
      <c r="L23" s="10">
        <f t="shared" si="16"/>
        <v>2.3359999999999999</v>
      </c>
      <c r="M23" s="10">
        <f t="shared" si="17"/>
        <v>2.4527999999999999</v>
      </c>
      <c r="N23" s="10">
        <v>5.84</v>
      </c>
      <c r="O23" s="10">
        <f t="shared" si="3"/>
        <v>5.84</v>
      </c>
    </row>
    <row r="24" spans="1:15" hidden="1" x14ac:dyDescent="0.25">
      <c r="A24" s="12" t="s">
        <v>27</v>
      </c>
      <c r="B24" s="13" t="s">
        <v>12</v>
      </c>
      <c r="C24" s="10" t="s">
        <v>21</v>
      </c>
      <c r="D24" s="10">
        <v>88</v>
      </c>
      <c r="E24" s="14">
        <v>50</v>
      </c>
      <c r="F24" s="10">
        <v>7.4799999999999995</v>
      </c>
      <c r="G24" s="10" t="s">
        <v>26</v>
      </c>
      <c r="H24" s="10"/>
      <c r="I24" s="14">
        <v>50</v>
      </c>
      <c r="J24" s="13" t="s">
        <v>70</v>
      </c>
      <c r="K24" s="10">
        <f t="shared" si="15"/>
        <v>1.3463999999999998</v>
      </c>
      <c r="L24" s="10">
        <f t="shared" si="16"/>
        <v>2.992</v>
      </c>
      <c r="M24" s="10">
        <f t="shared" si="17"/>
        <v>3.1415999999999995</v>
      </c>
      <c r="N24" s="10">
        <v>7.4799999999999995</v>
      </c>
      <c r="O24" s="10">
        <f t="shared" si="3"/>
        <v>7.4799999999999995</v>
      </c>
    </row>
    <row r="25" spans="1:15" hidden="1" x14ac:dyDescent="0.25">
      <c r="A25" s="12" t="s">
        <v>27</v>
      </c>
      <c r="B25" s="13" t="s">
        <v>12</v>
      </c>
      <c r="C25" s="10" t="s">
        <v>22</v>
      </c>
      <c r="D25" s="10">
        <v>88</v>
      </c>
      <c r="E25" s="14">
        <v>88</v>
      </c>
      <c r="F25" s="10">
        <v>2.91</v>
      </c>
      <c r="G25" s="10" t="s">
        <v>26</v>
      </c>
      <c r="H25" s="10"/>
      <c r="I25" s="14">
        <v>88</v>
      </c>
      <c r="J25" s="13" t="s">
        <v>70</v>
      </c>
      <c r="K25" s="10">
        <f>0.18*N25</f>
        <v>0.52380000000000004</v>
      </c>
      <c r="L25" s="10">
        <f t="shared" si="16"/>
        <v>1.1640000000000001</v>
      </c>
      <c r="M25" s="10">
        <f t="shared" si="17"/>
        <v>1.2222</v>
      </c>
      <c r="N25" s="10">
        <v>2.91</v>
      </c>
      <c r="O25" s="10">
        <f t="shared" si="3"/>
        <v>2.91</v>
      </c>
    </row>
    <row r="26" spans="1:15" hidden="1" x14ac:dyDescent="0.25">
      <c r="A26" s="12" t="s">
        <v>27</v>
      </c>
      <c r="B26" s="13" t="s">
        <v>12</v>
      </c>
      <c r="C26" s="10" t="s">
        <v>23</v>
      </c>
      <c r="D26" s="10">
        <v>88</v>
      </c>
      <c r="E26" s="14" t="s">
        <v>25</v>
      </c>
      <c r="F26" s="10">
        <v>0.5</v>
      </c>
      <c r="G26" s="10" t="s">
        <v>26</v>
      </c>
      <c r="H26" s="10"/>
      <c r="I26" s="14">
        <f>4.5/100</f>
        <v>4.4999999999999998E-2</v>
      </c>
      <c r="J26" s="13" t="s">
        <v>70</v>
      </c>
      <c r="K26" s="10">
        <f>0.35*N26</f>
        <v>0.17499999999999999</v>
      </c>
      <c r="L26" s="10">
        <f>0.4*N26</f>
        <v>0.2</v>
      </c>
      <c r="M26" s="10">
        <f>0.25*N26</f>
        <v>0.125</v>
      </c>
      <c r="N26" s="10">
        <v>0.5</v>
      </c>
      <c r="O26" s="10">
        <f t="shared" si="3"/>
        <v>0.5</v>
      </c>
    </row>
    <row r="27" spans="1:15" x14ac:dyDescent="0.25">
      <c r="A27" s="12" t="s">
        <v>27</v>
      </c>
      <c r="B27" s="13" t="s">
        <v>13</v>
      </c>
      <c r="C27" s="10" t="s">
        <v>21</v>
      </c>
      <c r="D27" s="10">
        <v>75</v>
      </c>
      <c r="E27" s="14">
        <v>0</v>
      </c>
      <c r="F27" s="10">
        <v>3.8</v>
      </c>
      <c r="G27" s="10" t="s">
        <v>26</v>
      </c>
      <c r="H27" s="10"/>
      <c r="I27" s="14">
        <v>0</v>
      </c>
      <c r="J27" s="13" t="s">
        <v>70</v>
      </c>
      <c r="K27" s="10">
        <f t="shared" ref="K27:K30" si="18">0.18*N27</f>
        <v>0.68399999999999994</v>
      </c>
      <c r="L27" s="10">
        <f t="shared" ref="L27:L30" si="19">0.4*N27</f>
        <v>1.52</v>
      </c>
      <c r="M27" s="10">
        <f t="shared" si="17"/>
        <v>1.5959999999999999</v>
      </c>
      <c r="N27" s="10">
        <v>3.8</v>
      </c>
      <c r="O27" s="10">
        <f t="shared" si="3"/>
        <v>3.8</v>
      </c>
    </row>
    <row r="28" spans="1:15" hidden="1" x14ac:dyDescent="0.25">
      <c r="A28" s="12" t="s">
        <v>27</v>
      </c>
      <c r="B28" s="13" t="s">
        <v>13</v>
      </c>
      <c r="C28" s="10" t="s">
        <v>21</v>
      </c>
      <c r="D28" s="10">
        <v>75</v>
      </c>
      <c r="E28" s="14">
        <v>20</v>
      </c>
      <c r="F28" s="10">
        <v>5.3</v>
      </c>
      <c r="G28" s="10" t="s">
        <v>26</v>
      </c>
      <c r="H28" s="10"/>
      <c r="I28" s="14">
        <v>20</v>
      </c>
      <c r="J28" s="13" t="s">
        <v>70</v>
      </c>
      <c r="K28" s="10">
        <f t="shared" si="18"/>
        <v>0.95399999999999996</v>
      </c>
      <c r="L28" s="10">
        <f t="shared" si="19"/>
        <v>2.12</v>
      </c>
      <c r="M28" s="10">
        <f t="shared" si="17"/>
        <v>2.226</v>
      </c>
      <c r="N28" s="10">
        <v>5.3</v>
      </c>
      <c r="O28" s="10">
        <f t="shared" si="3"/>
        <v>5.3</v>
      </c>
    </row>
    <row r="29" spans="1:15" hidden="1" x14ac:dyDescent="0.25">
      <c r="A29" s="12" t="s">
        <v>27</v>
      </c>
      <c r="B29" s="13" t="s">
        <v>13</v>
      </c>
      <c r="C29" s="10" t="s">
        <v>21</v>
      </c>
      <c r="D29" s="10">
        <v>75</v>
      </c>
      <c r="E29" s="14">
        <v>50</v>
      </c>
      <c r="F29" s="10">
        <v>1.93</v>
      </c>
      <c r="G29" s="10" t="s">
        <v>26</v>
      </c>
      <c r="H29" s="10"/>
      <c r="I29" s="14">
        <v>50</v>
      </c>
      <c r="J29" s="13" t="s">
        <v>70</v>
      </c>
      <c r="K29" s="10">
        <f t="shared" si="18"/>
        <v>0.34739999999999999</v>
      </c>
      <c r="L29" s="10">
        <f t="shared" si="19"/>
        <v>0.77200000000000002</v>
      </c>
      <c r="M29" s="10">
        <f t="shared" si="17"/>
        <v>0.81059999999999999</v>
      </c>
      <c r="N29" s="10">
        <v>1.93</v>
      </c>
      <c r="O29" s="10">
        <f t="shared" si="3"/>
        <v>1.93</v>
      </c>
    </row>
    <row r="30" spans="1:15" hidden="1" x14ac:dyDescent="0.25">
      <c r="A30" s="12" t="s">
        <v>27</v>
      </c>
      <c r="B30" s="13" t="s">
        <v>13</v>
      </c>
      <c r="C30" s="10" t="s">
        <v>22</v>
      </c>
      <c r="D30" s="10">
        <v>75</v>
      </c>
      <c r="E30" s="14">
        <v>75</v>
      </c>
      <c r="F30" s="10">
        <v>3.42</v>
      </c>
      <c r="G30" s="10" t="s">
        <v>26</v>
      </c>
      <c r="H30" s="10"/>
      <c r="I30" s="14">
        <v>75</v>
      </c>
      <c r="J30" s="13" t="s">
        <v>70</v>
      </c>
      <c r="K30" s="10">
        <f t="shared" si="18"/>
        <v>0.61559999999999993</v>
      </c>
      <c r="L30" s="10">
        <f t="shared" si="19"/>
        <v>1.3680000000000001</v>
      </c>
      <c r="M30" s="10">
        <f t="shared" si="17"/>
        <v>1.4363999999999999</v>
      </c>
      <c r="N30" s="10">
        <v>3.42</v>
      </c>
      <c r="O30" s="10">
        <f t="shared" si="3"/>
        <v>3.42</v>
      </c>
    </row>
    <row r="31" spans="1:15" hidden="1" x14ac:dyDescent="0.25">
      <c r="A31" s="12" t="s">
        <v>27</v>
      </c>
      <c r="B31" s="13" t="s">
        <v>13</v>
      </c>
      <c r="C31" s="10" t="s">
        <v>23</v>
      </c>
      <c r="D31" s="10">
        <v>75</v>
      </c>
      <c r="E31" s="14" t="s">
        <v>25</v>
      </c>
      <c r="F31" s="10">
        <v>0.9</v>
      </c>
      <c r="G31" s="10" t="s">
        <v>26</v>
      </c>
      <c r="H31" s="10"/>
      <c r="I31" s="14">
        <f>4.5/100</f>
        <v>4.4999999999999998E-2</v>
      </c>
      <c r="J31" s="13" t="s">
        <v>70</v>
      </c>
      <c r="K31" s="10">
        <f>0.35*N31</f>
        <v>0.315</v>
      </c>
      <c r="L31" s="10">
        <f>0.4*N31</f>
        <v>0.36000000000000004</v>
      </c>
      <c r="M31" s="10">
        <f>0.25*N31</f>
        <v>0.22500000000000001</v>
      </c>
      <c r="N31" s="10">
        <v>0.9</v>
      </c>
      <c r="O31" s="10">
        <f t="shared" si="3"/>
        <v>0.9</v>
      </c>
    </row>
    <row r="32" spans="1:15" x14ac:dyDescent="0.25">
      <c r="A32" s="12" t="s">
        <v>27</v>
      </c>
      <c r="B32" s="13" t="s">
        <v>14</v>
      </c>
      <c r="C32" s="10" t="s">
        <v>21</v>
      </c>
      <c r="D32" s="10">
        <v>234</v>
      </c>
      <c r="E32" s="14">
        <v>0</v>
      </c>
      <c r="F32" s="10">
        <v>1.02</v>
      </c>
      <c r="G32" s="10" t="s">
        <v>26</v>
      </c>
      <c r="H32" s="10"/>
      <c r="I32" s="14">
        <v>0</v>
      </c>
      <c r="J32" s="13" t="s">
        <v>70</v>
      </c>
      <c r="K32" s="10">
        <f t="shared" ref="K32:K37" si="20">0.18*N32</f>
        <v>0.18359999999999999</v>
      </c>
      <c r="L32" s="10">
        <f t="shared" ref="L32:L37" si="21">0.4*N32</f>
        <v>0.40800000000000003</v>
      </c>
      <c r="M32" s="10">
        <f t="shared" si="17"/>
        <v>0.4284</v>
      </c>
      <c r="N32" s="10">
        <v>1.02</v>
      </c>
      <c r="O32" s="10">
        <f t="shared" si="3"/>
        <v>1.02</v>
      </c>
    </row>
    <row r="33" spans="1:15" hidden="1" x14ac:dyDescent="0.25">
      <c r="A33" s="12" t="s">
        <v>27</v>
      </c>
      <c r="B33" s="13" t="s">
        <v>14</v>
      </c>
      <c r="C33" s="10" t="s">
        <v>21</v>
      </c>
      <c r="D33" s="10">
        <v>234</v>
      </c>
      <c r="E33" s="14">
        <v>20</v>
      </c>
      <c r="F33" s="10">
        <v>2.9</v>
      </c>
      <c r="G33" s="10" t="s">
        <v>26</v>
      </c>
      <c r="H33" s="10"/>
      <c r="I33" s="14">
        <v>20</v>
      </c>
      <c r="J33" s="13" t="s">
        <v>70</v>
      </c>
      <c r="K33" s="10">
        <f t="shared" si="20"/>
        <v>0.52200000000000002</v>
      </c>
      <c r="L33" s="10">
        <f t="shared" si="21"/>
        <v>1.1599999999999999</v>
      </c>
      <c r="M33" s="10">
        <f t="shared" si="17"/>
        <v>1.218</v>
      </c>
      <c r="N33" s="10">
        <v>2.9</v>
      </c>
      <c r="O33" s="10">
        <f t="shared" si="3"/>
        <v>2.9</v>
      </c>
    </row>
    <row r="34" spans="1:15" hidden="1" x14ac:dyDescent="0.25">
      <c r="A34" s="12" t="s">
        <v>27</v>
      </c>
      <c r="B34" s="13" t="s">
        <v>14</v>
      </c>
      <c r="C34" s="10" t="s">
        <v>21</v>
      </c>
      <c r="D34" s="10">
        <v>234</v>
      </c>
      <c r="E34" s="14">
        <v>50</v>
      </c>
      <c r="F34" s="10">
        <v>4.59</v>
      </c>
      <c r="G34" s="10" t="s">
        <v>26</v>
      </c>
      <c r="H34" s="10"/>
      <c r="I34" s="14">
        <v>50</v>
      </c>
      <c r="J34" s="13" t="s">
        <v>70</v>
      </c>
      <c r="K34" s="10">
        <f t="shared" si="20"/>
        <v>0.82619999999999993</v>
      </c>
      <c r="L34" s="10">
        <f t="shared" si="21"/>
        <v>1.8360000000000001</v>
      </c>
      <c r="M34" s="10">
        <f t="shared" si="17"/>
        <v>1.9278</v>
      </c>
      <c r="N34" s="10">
        <v>4.59</v>
      </c>
      <c r="O34" s="10">
        <f t="shared" si="3"/>
        <v>4.59</v>
      </c>
    </row>
    <row r="35" spans="1:15" hidden="1" x14ac:dyDescent="0.25">
      <c r="A35" s="12" t="s">
        <v>27</v>
      </c>
      <c r="B35" s="13" t="s">
        <v>14</v>
      </c>
      <c r="C35" s="10" t="s">
        <v>21</v>
      </c>
      <c r="D35" s="10">
        <v>234</v>
      </c>
      <c r="E35" s="14">
        <v>100</v>
      </c>
      <c r="F35" s="10">
        <v>4.2299999999999995</v>
      </c>
      <c r="G35" s="10" t="s">
        <v>26</v>
      </c>
      <c r="H35" s="10"/>
      <c r="I35" s="14">
        <v>100</v>
      </c>
      <c r="J35" s="13" t="s">
        <v>70</v>
      </c>
      <c r="K35" s="10">
        <f t="shared" si="20"/>
        <v>0.76139999999999985</v>
      </c>
      <c r="L35" s="10">
        <f t="shared" si="21"/>
        <v>1.6919999999999999</v>
      </c>
      <c r="M35" s="10">
        <f t="shared" si="17"/>
        <v>1.7765999999999997</v>
      </c>
      <c r="N35" s="10">
        <v>4.2299999999999995</v>
      </c>
      <c r="O35" s="10">
        <f t="shared" si="3"/>
        <v>4.2299999999999995</v>
      </c>
    </row>
    <row r="36" spans="1:15" hidden="1" x14ac:dyDescent="0.25">
      <c r="A36" s="12" t="s">
        <v>27</v>
      </c>
      <c r="B36" s="13" t="s">
        <v>14</v>
      </c>
      <c r="C36" s="10" t="s">
        <v>21</v>
      </c>
      <c r="D36" s="10">
        <v>234</v>
      </c>
      <c r="E36" s="14">
        <v>200</v>
      </c>
      <c r="F36" s="10">
        <v>3</v>
      </c>
      <c r="G36" s="10" t="s">
        <v>26</v>
      </c>
      <c r="H36" s="10"/>
      <c r="I36" s="14">
        <v>200</v>
      </c>
      <c r="J36" s="13" t="s">
        <v>70</v>
      </c>
      <c r="K36" s="10">
        <f t="shared" si="20"/>
        <v>0.54</v>
      </c>
      <c r="L36" s="10">
        <f t="shared" si="21"/>
        <v>1.2000000000000002</v>
      </c>
      <c r="M36" s="10">
        <f t="shared" si="17"/>
        <v>1.26</v>
      </c>
      <c r="N36" s="10">
        <v>3</v>
      </c>
      <c r="O36" s="10">
        <f t="shared" si="3"/>
        <v>3</v>
      </c>
    </row>
    <row r="37" spans="1:15" hidden="1" x14ac:dyDescent="0.25">
      <c r="A37" s="12" t="s">
        <v>27</v>
      </c>
      <c r="B37" s="13" t="s">
        <v>14</v>
      </c>
      <c r="C37" s="10" t="s">
        <v>22</v>
      </c>
      <c r="D37" s="10">
        <v>234</v>
      </c>
      <c r="E37" s="14">
        <v>234</v>
      </c>
      <c r="F37" s="10">
        <v>5.6</v>
      </c>
      <c r="G37" s="10" t="s">
        <v>26</v>
      </c>
      <c r="H37" s="10"/>
      <c r="I37" s="14">
        <v>234</v>
      </c>
      <c r="J37" s="13" t="s">
        <v>70</v>
      </c>
      <c r="K37" s="10">
        <f t="shared" si="20"/>
        <v>1.008</v>
      </c>
      <c r="L37" s="10">
        <f t="shared" si="21"/>
        <v>2.2399999999999998</v>
      </c>
      <c r="M37" s="10">
        <f t="shared" si="17"/>
        <v>2.3519999999999999</v>
      </c>
      <c r="N37" s="10">
        <v>5.6</v>
      </c>
      <c r="O37" s="10">
        <f t="shared" si="3"/>
        <v>5.6</v>
      </c>
    </row>
    <row r="38" spans="1:15" hidden="1" x14ac:dyDescent="0.25">
      <c r="A38" s="12" t="s">
        <v>27</v>
      </c>
      <c r="B38" s="13" t="s">
        <v>14</v>
      </c>
      <c r="C38" s="10" t="s">
        <v>23</v>
      </c>
      <c r="D38" s="10">
        <v>234</v>
      </c>
      <c r="E38" s="14" t="s">
        <v>25</v>
      </c>
      <c r="F38" s="10"/>
      <c r="G38" s="10" t="s">
        <v>26</v>
      </c>
      <c r="H38" s="10"/>
      <c r="I38" s="14">
        <f>4.5/100</f>
        <v>4.4999999999999998E-2</v>
      </c>
      <c r="J38" s="13" t="s">
        <v>70</v>
      </c>
      <c r="K38" s="10"/>
      <c r="L38" s="10"/>
      <c r="M38" s="10"/>
      <c r="N38" s="10"/>
      <c r="O38" s="10">
        <f t="shared" si="3"/>
        <v>0</v>
      </c>
    </row>
    <row r="39" spans="1:15" x14ac:dyDescent="0.25">
      <c r="A39" s="12" t="s">
        <v>27</v>
      </c>
      <c r="B39" s="13" t="s">
        <v>15</v>
      </c>
      <c r="C39" s="10" t="s">
        <v>21</v>
      </c>
      <c r="D39" s="10">
        <v>190</v>
      </c>
      <c r="E39" s="14">
        <v>0</v>
      </c>
      <c r="F39" s="10">
        <v>21.6</v>
      </c>
      <c r="G39" s="10" t="s">
        <v>26</v>
      </c>
      <c r="H39" s="10"/>
      <c r="I39" s="14">
        <v>0</v>
      </c>
      <c r="J39" s="13" t="s">
        <v>70</v>
      </c>
      <c r="K39" s="10">
        <f t="shared" ref="K39:K43" si="22">0.18*N39</f>
        <v>3.8879999999999999</v>
      </c>
      <c r="L39" s="10">
        <f t="shared" ref="L39:L43" si="23">0.4*N39</f>
        <v>8.64</v>
      </c>
      <c r="M39" s="10">
        <f t="shared" si="17"/>
        <v>9.072000000000001</v>
      </c>
      <c r="N39" s="10">
        <v>21.6</v>
      </c>
      <c r="O39" s="10">
        <f t="shared" si="3"/>
        <v>21.6</v>
      </c>
    </row>
    <row r="40" spans="1:15" hidden="1" x14ac:dyDescent="0.25">
      <c r="A40" s="12" t="s">
        <v>27</v>
      </c>
      <c r="B40" s="13" t="s">
        <v>15</v>
      </c>
      <c r="C40" s="10" t="s">
        <v>21</v>
      </c>
      <c r="D40" s="10">
        <v>190</v>
      </c>
      <c r="E40" s="14">
        <v>20</v>
      </c>
      <c r="F40" s="10">
        <v>2.64</v>
      </c>
      <c r="G40" s="10" t="s">
        <v>26</v>
      </c>
      <c r="H40" s="10"/>
      <c r="I40" s="14">
        <v>20</v>
      </c>
      <c r="J40" s="13" t="s">
        <v>70</v>
      </c>
      <c r="K40" s="10">
        <f t="shared" si="22"/>
        <v>0.47520000000000001</v>
      </c>
      <c r="L40" s="10">
        <f t="shared" si="23"/>
        <v>1.056</v>
      </c>
      <c r="M40" s="10">
        <f t="shared" si="17"/>
        <v>1.1088</v>
      </c>
      <c r="N40" s="10">
        <v>2.64</v>
      </c>
      <c r="O40" s="10">
        <f t="shared" si="3"/>
        <v>2.64</v>
      </c>
    </row>
    <row r="41" spans="1:15" hidden="1" x14ac:dyDescent="0.25">
      <c r="A41" s="12" t="s">
        <v>27</v>
      </c>
      <c r="B41" s="13" t="s">
        <v>15</v>
      </c>
      <c r="C41" s="10" t="s">
        <v>21</v>
      </c>
      <c r="D41" s="10">
        <v>190</v>
      </c>
      <c r="E41" s="14">
        <v>50</v>
      </c>
      <c r="F41" s="10">
        <v>13.360000000000001</v>
      </c>
      <c r="G41" s="10" t="s">
        <v>26</v>
      </c>
      <c r="H41" s="10"/>
      <c r="I41" s="14">
        <v>50</v>
      </c>
      <c r="J41" s="13" t="s">
        <v>70</v>
      </c>
      <c r="K41" s="10">
        <f t="shared" si="22"/>
        <v>2.4048000000000003</v>
      </c>
      <c r="L41" s="10">
        <f t="shared" si="23"/>
        <v>5.3440000000000012</v>
      </c>
      <c r="M41" s="10">
        <f t="shared" si="17"/>
        <v>5.6112000000000002</v>
      </c>
      <c r="N41" s="10">
        <v>13.360000000000001</v>
      </c>
      <c r="O41" s="10">
        <f t="shared" si="3"/>
        <v>13.360000000000001</v>
      </c>
    </row>
    <row r="42" spans="1:15" hidden="1" x14ac:dyDescent="0.25">
      <c r="A42" s="12" t="s">
        <v>27</v>
      </c>
      <c r="B42" s="13" t="s">
        <v>15</v>
      </c>
      <c r="C42" s="10" t="s">
        <v>21</v>
      </c>
      <c r="D42" s="10">
        <v>190</v>
      </c>
      <c r="E42" s="14">
        <v>100</v>
      </c>
      <c r="F42" s="10">
        <v>27.68</v>
      </c>
      <c r="G42" s="10" t="s">
        <v>26</v>
      </c>
      <c r="H42" s="10"/>
      <c r="I42" s="14">
        <v>100</v>
      </c>
      <c r="J42" s="13" t="s">
        <v>70</v>
      </c>
      <c r="K42" s="10">
        <f t="shared" si="22"/>
        <v>4.9824000000000002</v>
      </c>
      <c r="L42" s="10">
        <f t="shared" si="23"/>
        <v>11.072000000000001</v>
      </c>
      <c r="M42" s="10">
        <f t="shared" si="17"/>
        <v>11.625599999999999</v>
      </c>
      <c r="N42" s="10">
        <v>27.68</v>
      </c>
      <c r="O42" s="10">
        <f t="shared" si="3"/>
        <v>27.68</v>
      </c>
    </row>
    <row r="43" spans="1:15" hidden="1" x14ac:dyDescent="0.25">
      <c r="A43" s="12" t="s">
        <v>27</v>
      </c>
      <c r="B43" s="13" t="s">
        <v>15</v>
      </c>
      <c r="C43" s="10" t="s">
        <v>22</v>
      </c>
      <c r="D43" s="10">
        <v>190</v>
      </c>
      <c r="E43" s="14">
        <v>190</v>
      </c>
      <c r="F43" s="10">
        <v>12.86</v>
      </c>
      <c r="G43" s="10" t="s">
        <v>26</v>
      </c>
      <c r="H43" s="10"/>
      <c r="I43" s="14">
        <v>190</v>
      </c>
      <c r="J43" s="13" t="s">
        <v>70</v>
      </c>
      <c r="K43" s="10">
        <f t="shared" si="22"/>
        <v>2.3148</v>
      </c>
      <c r="L43" s="10">
        <f t="shared" si="23"/>
        <v>5.1440000000000001</v>
      </c>
      <c r="M43" s="10">
        <f t="shared" si="17"/>
        <v>5.4011999999999993</v>
      </c>
      <c r="N43" s="10">
        <v>12.86</v>
      </c>
      <c r="O43" s="10">
        <f t="shared" si="3"/>
        <v>12.86</v>
      </c>
    </row>
    <row r="44" spans="1:15" hidden="1" x14ac:dyDescent="0.25">
      <c r="A44" s="12" t="s">
        <v>27</v>
      </c>
      <c r="B44" s="13" t="s">
        <v>15</v>
      </c>
      <c r="C44" s="10" t="s">
        <v>23</v>
      </c>
      <c r="D44" s="10">
        <v>190</v>
      </c>
      <c r="E44" s="14" t="s">
        <v>25</v>
      </c>
      <c r="F44" s="10">
        <v>0.9</v>
      </c>
      <c r="G44" s="10" t="s">
        <v>26</v>
      </c>
      <c r="H44" s="10"/>
      <c r="I44" s="14">
        <f>4.5/100</f>
        <v>4.4999999999999998E-2</v>
      </c>
      <c r="J44" s="13" t="s">
        <v>70</v>
      </c>
      <c r="K44" s="10">
        <f>0.35*N44</f>
        <v>0.315</v>
      </c>
      <c r="L44" s="10">
        <f>0.4*N44</f>
        <v>0.36000000000000004</v>
      </c>
      <c r="M44" s="10">
        <f>0.25*N44</f>
        <v>0.22500000000000001</v>
      </c>
      <c r="N44" s="10">
        <v>0.9</v>
      </c>
      <c r="O44" s="10">
        <f t="shared" si="3"/>
        <v>0.9</v>
      </c>
    </row>
    <row r="45" spans="1:15" x14ac:dyDescent="0.25">
      <c r="A45" s="12" t="s">
        <v>27</v>
      </c>
      <c r="B45" s="13" t="s">
        <v>16</v>
      </c>
      <c r="C45" s="10" t="s">
        <v>21</v>
      </c>
      <c r="D45" s="10">
        <v>437</v>
      </c>
      <c r="E45" s="14">
        <v>0</v>
      </c>
      <c r="F45" s="10">
        <v>5.04</v>
      </c>
      <c r="G45" s="10" t="s">
        <v>26</v>
      </c>
      <c r="H45" s="10"/>
      <c r="I45" s="14">
        <v>0</v>
      </c>
      <c r="J45" s="13" t="s">
        <v>70</v>
      </c>
      <c r="K45" s="10">
        <f t="shared" ref="K45:K51" si="24">0.18*N45</f>
        <v>0.90720000000000001</v>
      </c>
      <c r="L45" s="10">
        <f t="shared" ref="L45:L51" si="25">0.4*N45</f>
        <v>2.016</v>
      </c>
      <c r="M45" s="10">
        <f t="shared" si="17"/>
        <v>2.1168</v>
      </c>
      <c r="N45" s="10">
        <v>5.04</v>
      </c>
      <c r="O45" s="10">
        <f t="shared" si="3"/>
        <v>5.04</v>
      </c>
    </row>
    <row r="46" spans="1:15" hidden="1" x14ac:dyDescent="0.25">
      <c r="A46" s="12" t="s">
        <v>27</v>
      </c>
      <c r="B46" s="13" t="s">
        <v>16</v>
      </c>
      <c r="C46" s="10" t="s">
        <v>21</v>
      </c>
      <c r="D46" s="10">
        <v>437</v>
      </c>
      <c r="E46" s="14">
        <v>20</v>
      </c>
      <c r="F46" s="10">
        <v>8.82</v>
      </c>
      <c r="G46" s="10" t="s">
        <v>26</v>
      </c>
      <c r="H46" s="10"/>
      <c r="I46" s="14">
        <v>20</v>
      </c>
      <c r="J46" s="13" t="s">
        <v>70</v>
      </c>
      <c r="K46" s="10">
        <f t="shared" si="24"/>
        <v>1.5875999999999999</v>
      </c>
      <c r="L46" s="10">
        <f t="shared" si="25"/>
        <v>3.5280000000000005</v>
      </c>
      <c r="M46" s="10">
        <f t="shared" si="17"/>
        <v>3.7044000000000001</v>
      </c>
      <c r="N46" s="10">
        <v>8.82</v>
      </c>
      <c r="O46" s="10">
        <f t="shared" si="3"/>
        <v>8.82</v>
      </c>
    </row>
    <row r="47" spans="1:15" hidden="1" x14ac:dyDescent="0.25">
      <c r="A47" s="12" t="s">
        <v>27</v>
      </c>
      <c r="B47" s="13" t="s">
        <v>16</v>
      </c>
      <c r="C47" s="10" t="s">
        <v>21</v>
      </c>
      <c r="D47" s="10">
        <v>437</v>
      </c>
      <c r="E47" s="14">
        <v>50</v>
      </c>
      <c r="F47" s="10">
        <v>3</v>
      </c>
      <c r="G47" s="10" t="s">
        <v>26</v>
      </c>
      <c r="H47" s="10"/>
      <c r="I47" s="14">
        <v>50</v>
      </c>
      <c r="J47" s="13" t="s">
        <v>70</v>
      </c>
      <c r="K47" s="10">
        <f t="shared" si="24"/>
        <v>0.54</v>
      </c>
      <c r="L47" s="10">
        <f t="shared" si="25"/>
        <v>1.2000000000000002</v>
      </c>
      <c r="M47" s="10">
        <f t="shared" si="17"/>
        <v>1.26</v>
      </c>
      <c r="N47" s="10">
        <v>3</v>
      </c>
      <c r="O47" s="10">
        <f t="shared" si="3"/>
        <v>3</v>
      </c>
    </row>
    <row r="48" spans="1:15" hidden="1" x14ac:dyDescent="0.25">
      <c r="A48" s="12" t="s">
        <v>27</v>
      </c>
      <c r="B48" s="13" t="s">
        <v>16</v>
      </c>
      <c r="C48" s="10" t="s">
        <v>21</v>
      </c>
      <c r="D48" s="10">
        <v>437</v>
      </c>
      <c r="E48" s="14">
        <v>100</v>
      </c>
      <c r="F48" s="10">
        <v>8.84</v>
      </c>
      <c r="G48" s="10" t="s">
        <v>26</v>
      </c>
      <c r="H48" s="10"/>
      <c r="I48" s="14">
        <v>100</v>
      </c>
      <c r="J48" s="13" t="s">
        <v>70</v>
      </c>
      <c r="K48" s="10">
        <f t="shared" si="24"/>
        <v>1.5911999999999999</v>
      </c>
      <c r="L48" s="10">
        <f t="shared" si="25"/>
        <v>3.536</v>
      </c>
      <c r="M48" s="10">
        <f t="shared" si="17"/>
        <v>3.7127999999999997</v>
      </c>
      <c r="N48" s="10">
        <v>8.84</v>
      </c>
      <c r="O48" s="10">
        <f t="shared" si="3"/>
        <v>8.84</v>
      </c>
    </row>
    <row r="49" spans="1:15" hidden="1" x14ac:dyDescent="0.25">
      <c r="A49" s="12" t="s">
        <v>27</v>
      </c>
      <c r="B49" s="13" t="s">
        <v>16</v>
      </c>
      <c r="C49" s="10" t="s">
        <v>21</v>
      </c>
      <c r="D49" s="10">
        <v>437</v>
      </c>
      <c r="E49" s="14">
        <v>200</v>
      </c>
      <c r="F49" s="10">
        <v>1.34</v>
      </c>
      <c r="G49" s="10" t="s">
        <v>26</v>
      </c>
      <c r="H49" s="10"/>
      <c r="I49" s="14">
        <v>200</v>
      </c>
      <c r="J49" s="13" t="s">
        <v>70</v>
      </c>
      <c r="K49" s="10">
        <f t="shared" si="24"/>
        <v>0.2412</v>
      </c>
      <c r="L49" s="10">
        <f t="shared" si="25"/>
        <v>0.53600000000000003</v>
      </c>
      <c r="M49" s="10">
        <f t="shared" si="17"/>
        <v>0.56279999999999997</v>
      </c>
      <c r="N49" s="10">
        <v>1.34</v>
      </c>
      <c r="O49" s="10">
        <f t="shared" si="3"/>
        <v>1.3399999999999999</v>
      </c>
    </row>
    <row r="50" spans="1:15" hidden="1" x14ac:dyDescent="0.25">
      <c r="A50" s="12" t="s">
        <v>27</v>
      </c>
      <c r="B50" s="13" t="s">
        <v>16</v>
      </c>
      <c r="C50" s="10" t="s">
        <v>21</v>
      </c>
      <c r="D50" s="10">
        <v>437</v>
      </c>
      <c r="E50" s="14">
        <v>300</v>
      </c>
      <c r="F50" s="10">
        <v>6.42</v>
      </c>
      <c r="G50" s="10" t="s">
        <v>26</v>
      </c>
      <c r="H50" s="10"/>
      <c r="I50" s="14">
        <v>300</v>
      </c>
      <c r="J50" s="13" t="s">
        <v>70</v>
      </c>
      <c r="K50" s="10">
        <f t="shared" si="24"/>
        <v>1.1556</v>
      </c>
      <c r="L50" s="10">
        <f t="shared" si="25"/>
        <v>2.5680000000000001</v>
      </c>
      <c r="M50" s="10">
        <f t="shared" si="17"/>
        <v>2.6963999999999997</v>
      </c>
      <c r="N50" s="10">
        <v>6.42</v>
      </c>
      <c r="O50" s="10">
        <f t="shared" si="3"/>
        <v>6.42</v>
      </c>
    </row>
    <row r="51" spans="1:15" hidden="1" x14ac:dyDescent="0.25">
      <c r="A51" s="12" t="s">
        <v>27</v>
      </c>
      <c r="B51" s="13" t="s">
        <v>16</v>
      </c>
      <c r="C51" s="10" t="s">
        <v>22</v>
      </c>
      <c r="D51" s="10">
        <v>437</v>
      </c>
      <c r="E51" s="14">
        <v>437</v>
      </c>
      <c r="F51" s="10">
        <v>3.1</v>
      </c>
      <c r="G51" s="10" t="s">
        <v>26</v>
      </c>
      <c r="H51" s="10"/>
      <c r="I51" s="14">
        <v>437</v>
      </c>
      <c r="J51" s="13" t="s">
        <v>70</v>
      </c>
      <c r="K51" s="10">
        <f t="shared" si="24"/>
        <v>0.55799999999999994</v>
      </c>
      <c r="L51" s="10">
        <f t="shared" si="25"/>
        <v>1.2400000000000002</v>
      </c>
      <c r="M51" s="10">
        <f t="shared" si="17"/>
        <v>1.302</v>
      </c>
      <c r="N51" s="10">
        <v>3.1</v>
      </c>
      <c r="O51" s="10">
        <f t="shared" si="3"/>
        <v>3.1</v>
      </c>
    </row>
    <row r="52" spans="1:15" hidden="1" x14ac:dyDescent="0.25">
      <c r="A52" s="12" t="s">
        <v>27</v>
      </c>
      <c r="B52" s="13" t="s">
        <v>16</v>
      </c>
      <c r="C52" s="10" t="s">
        <v>23</v>
      </c>
      <c r="D52" s="10">
        <v>437</v>
      </c>
      <c r="E52" s="14" t="s">
        <v>25</v>
      </c>
      <c r="F52" s="10">
        <v>0.5</v>
      </c>
      <c r="G52" s="10" t="s">
        <v>26</v>
      </c>
      <c r="H52" s="10"/>
      <c r="I52" s="14">
        <f>4.5/100</f>
        <v>4.4999999999999998E-2</v>
      </c>
      <c r="J52" s="13" t="s">
        <v>70</v>
      </c>
      <c r="K52" s="10">
        <f>0.35*N52</f>
        <v>0.17499999999999999</v>
      </c>
      <c r="L52" s="10">
        <f>0.4*N52</f>
        <v>0.2</v>
      </c>
      <c r="M52" s="10">
        <f>0.25*N52</f>
        <v>0.125</v>
      </c>
      <c r="N52" s="10">
        <v>0.5</v>
      </c>
      <c r="O52" s="10">
        <f t="shared" si="3"/>
        <v>0.5</v>
      </c>
    </row>
    <row r="53" spans="1:15" x14ac:dyDescent="0.25">
      <c r="A53" s="12" t="s">
        <v>27</v>
      </c>
      <c r="B53" s="13" t="s">
        <v>17</v>
      </c>
      <c r="C53" s="10" t="s">
        <v>21</v>
      </c>
      <c r="D53" s="10">
        <v>164</v>
      </c>
      <c r="E53" s="14">
        <v>0</v>
      </c>
      <c r="F53" s="10">
        <v>1.25</v>
      </c>
      <c r="G53" s="10" t="s">
        <v>26</v>
      </c>
      <c r="H53" s="10"/>
      <c r="I53" s="14">
        <v>0</v>
      </c>
      <c r="J53" s="13" t="s">
        <v>70</v>
      </c>
      <c r="K53" s="10">
        <f t="shared" ref="K53:K57" si="26">0.18*N53</f>
        <v>0.22499999999999998</v>
      </c>
      <c r="L53" s="10">
        <f t="shared" ref="L53:L57" si="27">0.4*N53</f>
        <v>0.5</v>
      </c>
      <c r="M53" s="10">
        <f t="shared" si="17"/>
        <v>0.52500000000000002</v>
      </c>
      <c r="N53" s="10">
        <v>1.25</v>
      </c>
      <c r="O53" s="10">
        <f t="shared" si="3"/>
        <v>1.25</v>
      </c>
    </row>
    <row r="54" spans="1:15" hidden="1" x14ac:dyDescent="0.25">
      <c r="A54" s="12" t="s">
        <v>27</v>
      </c>
      <c r="B54" s="13" t="s">
        <v>17</v>
      </c>
      <c r="C54" s="10" t="s">
        <v>21</v>
      </c>
      <c r="D54" s="10">
        <v>164</v>
      </c>
      <c r="E54" s="14">
        <v>20</v>
      </c>
      <c r="F54" s="10">
        <v>2.5</v>
      </c>
      <c r="G54" s="10" t="s">
        <v>26</v>
      </c>
      <c r="H54" s="10"/>
      <c r="I54" s="14">
        <v>20</v>
      </c>
      <c r="J54" s="13" t="s">
        <v>70</v>
      </c>
      <c r="K54" s="10">
        <f t="shared" si="26"/>
        <v>0.44999999999999996</v>
      </c>
      <c r="L54" s="10">
        <f t="shared" si="27"/>
        <v>1</v>
      </c>
      <c r="M54" s="10">
        <f t="shared" si="17"/>
        <v>1.05</v>
      </c>
      <c r="N54" s="10">
        <v>2.5</v>
      </c>
      <c r="O54" s="10">
        <f t="shared" si="3"/>
        <v>2.5</v>
      </c>
    </row>
    <row r="55" spans="1:15" hidden="1" x14ac:dyDescent="0.25">
      <c r="A55" s="12" t="s">
        <v>27</v>
      </c>
      <c r="B55" s="13" t="s">
        <v>17</v>
      </c>
      <c r="C55" s="10" t="s">
        <v>21</v>
      </c>
      <c r="D55" s="10">
        <v>164</v>
      </c>
      <c r="E55" s="14">
        <v>50</v>
      </c>
      <c r="F55" s="10">
        <v>1.48</v>
      </c>
      <c r="G55" s="10" t="s">
        <v>26</v>
      </c>
      <c r="H55" s="10"/>
      <c r="I55" s="14">
        <v>50</v>
      </c>
      <c r="J55" s="13" t="s">
        <v>70</v>
      </c>
      <c r="K55" s="10">
        <f t="shared" si="26"/>
        <v>0.26639999999999997</v>
      </c>
      <c r="L55" s="10">
        <f t="shared" si="27"/>
        <v>0.59199999999999997</v>
      </c>
      <c r="M55" s="10">
        <f t="shared" si="17"/>
        <v>0.62159999999999993</v>
      </c>
      <c r="N55" s="10">
        <v>1.48</v>
      </c>
      <c r="O55" s="10">
        <f t="shared" si="3"/>
        <v>1.48</v>
      </c>
    </row>
    <row r="56" spans="1:15" hidden="1" x14ac:dyDescent="0.25">
      <c r="A56" s="12" t="s">
        <v>27</v>
      </c>
      <c r="B56" s="13" t="s">
        <v>17</v>
      </c>
      <c r="C56" s="10" t="s">
        <v>21</v>
      </c>
      <c r="D56" s="10">
        <v>164</v>
      </c>
      <c r="E56" s="14">
        <v>100</v>
      </c>
      <c r="F56" s="10">
        <v>9.07</v>
      </c>
      <c r="G56" s="10" t="s">
        <v>26</v>
      </c>
      <c r="H56" s="10"/>
      <c r="I56" s="14">
        <v>100</v>
      </c>
      <c r="J56" s="13" t="s">
        <v>70</v>
      </c>
      <c r="K56" s="10">
        <f t="shared" si="26"/>
        <v>1.6326000000000001</v>
      </c>
      <c r="L56" s="10">
        <f t="shared" si="27"/>
        <v>3.6280000000000001</v>
      </c>
      <c r="M56" s="10">
        <f t="shared" si="17"/>
        <v>3.8094000000000001</v>
      </c>
      <c r="N56" s="10">
        <v>9.07</v>
      </c>
      <c r="O56" s="10">
        <f t="shared" si="3"/>
        <v>9.07</v>
      </c>
    </row>
    <row r="57" spans="1:15" hidden="1" x14ac:dyDescent="0.25">
      <c r="A57" s="12" t="s">
        <v>27</v>
      </c>
      <c r="B57" s="13" t="s">
        <v>17</v>
      </c>
      <c r="C57" s="10" t="s">
        <v>22</v>
      </c>
      <c r="D57" s="10">
        <v>164</v>
      </c>
      <c r="E57" s="14">
        <v>164</v>
      </c>
      <c r="F57" s="10">
        <v>2.75</v>
      </c>
      <c r="G57" s="10" t="s">
        <v>26</v>
      </c>
      <c r="H57" s="10"/>
      <c r="I57" s="14">
        <v>164</v>
      </c>
      <c r="J57" s="13" t="s">
        <v>70</v>
      </c>
      <c r="K57" s="10">
        <f t="shared" si="26"/>
        <v>0.495</v>
      </c>
      <c r="L57" s="10">
        <f t="shared" si="27"/>
        <v>1.1000000000000001</v>
      </c>
      <c r="M57" s="10">
        <f t="shared" si="17"/>
        <v>1.155</v>
      </c>
      <c r="N57" s="10">
        <v>2.75</v>
      </c>
      <c r="O57" s="10">
        <f t="shared" si="3"/>
        <v>2.75</v>
      </c>
    </row>
    <row r="58" spans="1:15" hidden="1" x14ac:dyDescent="0.25">
      <c r="A58" s="12" t="s">
        <v>27</v>
      </c>
      <c r="B58" s="13" t="s">
        <v>17</v>
      </c>
      <c r="C58" s="10" t="s">
        <v>23</v>
      </c>
      <c r="D58" s="10">
        <v>164</v>
      </c>
      <c r="E58" s="14" t="s">
        <v>25</v>
      </c>
      <c r="F58" s="10">
        <v>0.2</v>
      </c>
      <c r="G58" s="10" t="s">
        <v>26</v>
      </c>
      <c r="H58" s="10"/>
      <c r="I58" s="14">
        <f>4.5/100</f>
        <v>4.4999999999999998E-2</v>
      </c>
      <c r="J58" s="13" t="s">
        <v>70</v>
      </c>
      <c r="K58" s="10">
        <f>0.35*N58</f>
        <v>6.9999999999999993E-2</v>
      </c>
      <c r="L58" s="10">
        <f>0.4*N58</f>
        <v>8.0000000000000016E-2</v>
      </c>
      <c r="M58" s="10">
        <f>0.25*N58</f>
        <v>0.05</v>
      </c>
      <c r="N58" s="10">
        <v>0.2</v>
      </c>
      <c r="O58" s="10">
        <f t="shared" si="3"/>
        <v>0.2</v>
      </c>
    </row>
    <row r="59" spans="1:15" x14ac:dyDescent="0.25">
      <c r="A59" s="12" t="s">
        <v>27</v>
      </c>
      <c r="B59" s="13" t="s">
        <v>18</v>
      </c>
      <c r="C59" s="10" t="s">
        <v>21</v>
      </c>
      <c r="D59" s="10">
        <v>135</v>
      </c>
      <c r="E59" s="14">
        <v>0</v>
      </c>
      <c r="F59" s="10">
        <v>3.18</v>
      </c>
      <c r="G59" s="10" t="s">
        <v>26</v>
      </c>
      <c r="H59" s="10"/>
      <c r="I59" s="14">
        <v>0</v>
      </c>
      <c r="J59" s="13" t="s">
        <v>70</v>
      </c>
      <c r="K59" s="10">
        <f t="shared" ref="K59:K62" si="28">0.18*N59</f>
        <v>0.57240000000000002</v>
      </c>
      <c r="L59" s="10">
        <f t="shared" ref="L59:L62" si="29">0.4*N59</f>
        <v>1.2720000000000002</v>
      </c>
      <c r="M59" s="10">
        <f t="shared" si="17"/>
        <v>1.3356000000000001</v>
      </c>
      <c r="N59" s="10">
        <v>3.18</v>
      </c>
      <c r="O59" s="10">
        <f t="shared" si="3"/>
        <v>3.1800000000000006</v>
      </c>
    </row>
    <row r="60" spans="1:15" hidden="1" x14ac:dyDescent="0.25">
      <c r="A60" s="12" t="s">
        <v>27</v>
      </c>
      <c r="B60" s="13" t="s">
        <v>18</v>
      </c>
      <c r="C60" s="10" t="s">
        <v>21</v>
      </c>
      <c r="D60" s="10">
        <v>135</v>
      </c>
      <c r="E60" s="14">
        <v>20</v>
      </c>
      <c r="F60" s="10">
        <v>0.85</v>
      </c>
      <c r="G60" s="10" t="s">
        <v>26</v>
      </c>
      <c r="H60" s="10"/>
      <c r="I60" s="14">
        <v>20</v>
      </c>
      <c r="J60" s="13" t="s">
        <v>70</v>
      </c>
      <c r="K60" s="10">
        <f t="shared" si="28"/>
        <v>0.153</v>
      </c>
      <c r="L60" s="10">
        <f t="shared" si="29"/>
        <v>0.34</v>
      </c>
      <c r="M60" s="10">
        <f t="shared" si="17"/>
        <v>0.35699999999999998</v>
      </c>
      <c r="N60" s="10">
        <v>0.85</v>
      </c>
      <c r="O60" s="10">
        <f t="shared" si="3"/>
        <v>0.85</v>
      </c>
    </row>
    <row r="61" spans="1:15" hidden="1" x14ac:dyDescent="0.25">
      <c r="A61" s="12" t="s">
        <v>27</v>
      </c>
      <c r="B61" s="13" t="s">
        <v>18</v>
      </c>
      <c r="C61" s="10" t="s">
        <v>21</v>
      </c>
      <c r="D61" s="10">
        <v>135</v>
      </c>
      <c r="E61" s="14">
        <v>85</v>
      </c>
      <c r="F61" s="10">
        <v>3.16</v>
      </c>
      <c r="G61" s="10" t="s">
        <v>26</v>
      </c>
      <c r="H61" s="10"/>
      <c r="I61" s="14">
        <v>85</v>
      </c>
      <c r="J61" s="13" t="s">
        <v>70</v>
      </c>
      <c r="K61" s="10">
        <f t="shared" si="28"/>
        <v>0.56879999999999997</v>
      </c>
      <c r="L61" s="10">
        <f t="shared" si="29"/>
        <v>1.2640000000000002</v>
      </c>
      <c r="M61" s="10">
        <f t="shared" si="17"/>
        <v>1.3271999999999999</v>
      </c>
      <c r="N61" s="10">
        <v>3.16</v>
      </c>
      <c r="O61" s="10">
        <f t="shared" si="3"/>
        <v>3.16</v>
      </c>
    </row>
    <row r="62" spans="1:15" hidden="1" x14ac:dyDescent="0.25">
      <c r="A62" s="12" t="s">
        <v>27</v>
      </c>
      <c r="B62" s="13" t="s">
        <v>18</v>
      </c>
      <c r="C62" s="10" t="s">
        <v>22</v>
      </c>
      <c r="D62" s="10">
        <v>135</v>
      </c>
      <c r="E62" s="14">
        <v>135</v>
      </c>
      <c r="F62" s="10">
        <v>1.48</v>
      </c>
      <c r="G62" s="10" t="s">
        <v>26</v>
      </c>
      <c r="H62" s="10"/>
      <c r="I62" s="14">
        <v>135</v>
      </c>
      <c r="J62" s="13" t="s">
        <v>70</v>
      </c>
      <c r="K62" s="10">
        <f t="shared" si="28"/>
        <v>0.26639999999999997</v>
      </c>
      <c r="L62" s="10">
        <f t="shared" si="29"/>
        <v>0.59199999999999997</v>
      </c>
      <c r="M62" s="10">
        <f t="shared" si="17"/>
        <v>0.62159999999999993</v>
      </c>
      <c r="N62" s="10">
        <v>1.48</v>
      </c>
      <c r="O62" s="10">
        <f t="shared" si="3"/>
        <v>1.48</v>
      </c>
    </row>
    <row r="63" spans="1:15" hidden="1" x14ac:dyDescent="0.25">
      <c r="A63" s="12" t="s">
        <v>27</v>
      </c>
      <c r="B63" s="13" t="s">
        <v>18</v>
      </c>
      <c r="C63" s="10" t="s">
        <v>23</v>
      </c>
      <c r="D63" s="10">
        <v>135</v>
      </c>
      <c r="E63" s="14" t="s">
        <v>25</v>
      </c>
      <c r="F63" s="10">
        <v>0.4</v>
      </c>
      <c r="G63" s="10" t="s">
        <v>26</v>
      </c>
      <c r="H63" s="10"/>
      <c r="I63" s="14">
        <f>4.5/100</f>
        <v>4.4999999999999998E-2</v>
      </c>
      <c r="J63" s="13" t="s">
        <v>70</v>
      </c>
      <c r="K63" s="10">
        <f>0.35*N63</f>
        <v>0.13999999999999999</v>
      </c>
      <c r="L63" s="10">
        <f>0.4*N63</f>
        <v>0.16000000000000003</v>
      </c>
      <c r="M63" s="10">
        <f>0.25*N63</f>
        <v>0.1</v>
      </c>
      <c r="N63" s="10">
        <v>0.4</v>
      </c>
      <c r="O63" s="10">
        <f t="shared" si="3"/>
        <v>0.4</v>
      </c>
    </row>
    <row r="64" spans="1:15" x14ac:dyDescent="0.25">
      <c r="A64" s="12" t="s">
        <v>27</v>
      </c>
      <c r="B64" s="13" t="s">
        <v>19</v>
      </c>
      <c r="C64" s="10" t="s">
        <v>21</v>
      </c>
      <c r="D64" s="10">
        <v>80</v>
      </c>
      <c r="E64" s="14">
        <v>0</v>
      </c>
      <c r="F64" s="10">
        <v>0.4</v>
      </c>
      <c r="G64" s="10" t="s">
        <v>26</v>
      </c>
      <c r="H64" s="10"/>
      <c r="I64" s="14">
        <v>0</v>
      </c>
      <c r="J64" s="13" t="s">
        <v>70</v>
      </c>
      <c r="K64" s="10">
        <f t="shared" ref="K64:K66" si="30">0.18*N64</f>
        <v>7.1999999999999995E-2</v>
      </c>
      <c r="L64" s="10">
        <f t="shared" ref="L64:L66" si="31">0.4*N64</f>
        <v>0.16000000000000003</v>
      </c>
      <c r="M64" s="10">
        <f t="shared" si="17"/>
        <v>0.16800000000000001</v>
      </c>
      <c r="N64" s="10">
        <v>0.4</v>
      </c>
      <c r="O64" s="10">
        <f t="shared" si="3"/>
        <v>0.4</v>
      </c>
    </row>
    <row r="65" spans="1:15" hidden="1" x14ac:dyDescent="0.25">
      <c r="A65" s="12" t="s">
        <v>27</v>
      </c>
      <c r="B65" s="13" t="s">
        <v>19</v>
      </c>
      <c r="C65" s="10" t="s">
        <v>24</v>
      </c>
      <c r="D65" s="10">
        <v>80</v>
      </c>
      <c r="E65" s="14">
        <v>50</v>
      </c>
      <c r="F65" s="10">
        <v>2.6</v>
      </c>
      <c r="G65" s="10" t="s">
        <v>26</v>
      </c>
      <c r="H65" s="10"/>
      <c r="I65" s="14">
        <v>50</v>
      </c>
      <c r="J65" s="13" t="s">
        <v>70</v>
      </c>
      <c r="K65" s="10">
        <f t="shared" si="30"/>
        <v>0.46799999999999997</v>
      </c>
      <c r="L65" s="10">
        <f t="shared" si="31"/>
        <v>1.04</v>
      </c>
      <c r="M65" s="10">
        <f t="shared" si="17"/>
        <v>1.0920000000000001</v>
      </c>
      <c r="N65" s="10">
        <v>2.6</v>
      </c>
      <c r="O65" s="10">
        <f t="shared" si="3"/>
        <v>2.6</v>
      </c>
    </row>
    <row r="66" spans="1:15" hidden="1" x14ac:dyDescent="0.25">
      <c r="A66" s="12" t="s">
        <v>27</v>
      </c>
      <c r="B66" s="13" t="s">
        <v>19</v>
      </c>
      <c r="C66" s="10" t="s">
        <v>22</v>
      </c>
      <c r="D66" s="10">
        <v>80</v>
      </c>
      <c r="E66" s="14">
        <v>80</v>
      </c>
      <c r="F66" s="10">
        <v>5</v>
      </c>
      <c r="G66" s="10" t="s">
        <v>26</v>
      </c>
      <c r="H66" s="10"/>
      <c r="I66" s="14">
        <v>80</v>
      </c>
      <c r="J66" s="13" t="s">
        <v>70</v>
      </c>
      <c r="K66" s="10">
        <f t="shared" si="30"/>
        <v>0.89999999999999991</v>
      </c>
      <c r="L66" s="10">
        <f t="shared" si="31"/>
        <v>2</v>
      </c>
      <c r="M66" s="10">
        <f t="shared" si="17"/>
        <v>2.1</v>
      </c>
      <c r="N66" s="10">
        <v>5</v>
      </c>
      <c r="O66" s="10">
        <f t="shared" si="3"/>
        <v>5</v>
      </c>
    </row>
    <row r="67" spans="1:15" hidden="1" x14ac:dyDescent="0.25">
      <c r="A67" s="12" t="s">
        <v>27</v>
      </c>
      <c r="B67" s="13" t="s">
        <v>19</v>
      </c>
      <c r="C67" s="10" t="s">
        <v>23</v>
      </c>
      <c r="D67" s="10">
        <v>80</v>
      </c>
      <c r="E67" s="14" t="s">
        <v>25</v>
      </c>
      <c r="F67" s="10"/>
      <c r="G67" s="10" t="s">
        <v>26</v>
      </c>
      <c r="H67" s="10"/>
      <c r="I67" s="14">
        <f>4.5/100</f>
        <v>4.4999999999999998E-2</v>
      </c>
      <c r="J67" s="13" t="s">
        <v>70</v>
      </c>
      <c r="K67" s="10"/>
      <c r="L67" s="10"/>
      <c r="M67" s="10"/>
      <c r="N67" s="10"/>
      <c r="O67" s="10">
        <f t="shared" ref="O67:O130" si="32">SUM(K67:M67)</f>
        <v>0</v>
      </c>
    </row>
    <row r="68" spans="1:15" x14ac:dyDescent="0.25">
      <c r="A68" s="12" t="s">
        <v>27</v>
      </c>
      <c r="B68" s="13" t="s">
        <v>20</v>
      </c>
      <c r="C68" s="10" t="s">
        <v>21</v>
      </c>
      <c r="D68" s="10">
        <v>93</v>
      </c>
      <c r="E68" s="14">
        <v>0</v>
      </c>
      <c r="F68" s="10">
        <v>1.5999999999999999</v>
      </c>
      <c r="G68" s="10" t="s">
        <v>26</v>
      </c>
      <c r="H68" s="10"/>
      <c r="I68" s="14">
        <v>0</v>
      </c>
      <c r="J68" s="13" t="s">
        <v>70</v>
      </c>
      <c r="K68" s="10">
        <f t="shared" ref="K68:K70" si="33">0.18*N68</f>
        <v>0.28799999999999998</v>
      </c>
      <c r="L68" s="10">
        <f t="shared" ref="L68:L70" si="34">0.4*N68</f>
        <v>0.64</v>
      </c>
      <c r="M68" s="10">
        <f t="shared" si="17"/>
        <v>0.67199999999999993</v>
      </c>
      <c r="N68" s="10">
        <v>1.5999999999999999</v>
      </c>
      <c r="O68" s="10">
        <f t="shared" si="32"/>
        <v>1.5999999999999999</v>
      </c>
    </row>
    <row r="69" spans="1:15" hidden="1" x14ac:dyDescent="0.25">
      <c r="A69" s="12" t="s">
        <v>27</v>
      </c>
      <c r="B69" s="13" t="s">
        <v>20</v>
      </c>
      <c r="C69" s="10" t="s">
        <v>21</v>
      </c>
      <c r="D69" s="10">
        <v>93</v>
      </c>
      <c r="E69" s="14">
        <v>40</v>
      </c>
      <c r="F69" s="10">
        <v>2.2000000000000002</v>
      </c>
      <c r="G69" s="10" t="s">
        <v>26</v>
      </c>
      <c r="H69" s="10"/>
      <c r="I69" s="14">
        <v>40</v>
      </c>
      <c r="J69" s="13" t="s">
        <v>70</v>
      </c>
      <c r="K69" s="10">
        <f t="shared" si="33"/>
        <v>0.39600000000000002</v>
      </c>
      <c r="L69" s="10">
        <f t="shared" si="34"/>
        <v>0.88000000000000012</v>
      </c>
      <c r="M69" s="10">
        <f t="shared" si="17"/>
        <v>0.92400000000000004</v>
      </c>
      <c r="N69" s="10">
        <v>2.2000000000000002</v>
      </c>
      <c r="O69" s="10">
        <f t="shared" si="32"/>
        <v>2.2000000000000002</v>
      </c>
    </row>
    <row r="70" spans="1:15" hidden="1" x14ac:dyDescent="0.25">
      <c r="A70" s="12" t="s">
        <v>27</v>
      </c>
      <c r="B70" s="13" t="s">
        <v>20</v>
      </c>
      <c r="C70" s="10" t="s">
        <v>22</v>
      </c>
      <c r="D70" s="10">
        <v>93</v>
      </c>
      <c r="E70" s="14">
        <v>93</v>
      </c>
      <c r="F70" s="10">
        <v>1.4</v>
      </c>
      <c r="G70" s="10" t="s">
        <v>26</v>
      </c>
      <c r="H70" s="10"/>
      <c r="I70" s="14">
        <v>93</v>
      </c>
      <c r="J70" s="13" t="s">
        <v>70</v>
      </c>
      <c r="K70" s="10">
        <f t="shared" si="33"/>
        <v>0.252</v>
      </c>
      <c r="L70" s="10">
        <f t="shared" si="34"/>
        <v>0.55999999999999994</v>
      </c>
      <c r="M70" s="10">
        <f t="shared" si="17"/>
        <v>0.58799999999999997</v>
      </c>
      <c r="N70" s="10">
        <v>1.4</v>
      </c>
      <c r="O70" s="10">
        <f t="shared" si="32"/>
        <v>1.4</v>
      </c>
    </row>
    <row r="71" spans="1:15" hidden="1" x14ac:dyDescent="0.25">
      <c r="A71" s="12" t="s">
        <v>27</v>
      </c>
      <c r="B71" s="13" t="s">
        <v>20</v>
      </c>
      <c r="C71" s="10" t="s">
        <v>23</v>
      </c>
      <c r="D71" s="10">
        <v>93</v>
      </c>
      <c r="E71" s="14" t="s">
        <v>25</v>
      </c>
      <c r="F71" s="10"/>
      <c r="G71" s="10" t="s">
        <v>26</v>
      </c>
      <c r="H71" s="10"/>
      <c r="I71" s="14">
        <f>4.5/100</f>
        <v>4.4999999999999998E-2</v>
      </c>
      <c r="J71" s="13" t="s">
        <v>70</v>
      </c>
      <c r="K71" s="10"/>
      <c r="L71" s="10"/>
      <c r="M71" s="10"/>
      <c r="N71" s="10"/>
      <c r="O71" s="10">
        <f t="shared" si="32"/>
        <v>0</v>
      </c>
    </row>
    <row r="72" spans="1:15" hidden="1" x14ac:dyDescent="0.25">
      <c r="A72" s="10" t="s">
        <v>54</v>
      </c>
      <c r="B72" s="10" t="s">
        <v>28</v>
      </c>
      <c r="C72" s="10" t="s">
        <v>23</v>
      </c>
      <c r="D72" s="10">
        <v>27</v>
      </c>
      <c r="E72" s="11" t="s">
        <v>40</v>
      </c>
      <c r="F72" s="12" t="s">
        <v>41</v>
      </c>
      <c r="G72" s="10" t="s">
        <v>53</v>
      </c>
      <c r="H72" s="10"/>
      <c r="I72" s="11">
        <f>1/100</f>
        <v>0.01</v>
      </c>
      <c r="J72" s="13" t="s">
        <v>70</v>
      </c>
      <c r="K72" s="10">
        <f>0.35*N72</f>
        <v>103.54716981132056</v>
      </c>
      <c r="L72" s="10">
        <f>0.55*N72</f>
        <v>162.71698113207518</v>
      </c>
      <c r="M72" s="10">
        <f>N72*0.1</f>
        <v>29.584905660377302</v>
      </c>
      <c r="N72" s="12">
        <v>295.84905660377302</v>
      </c>
      <c r="O72" s="10">
        <f t="shared" si="32"/>
        <v>295.84905660377308</v>
      </c>
    </row>
    <row r="73" spans="1:15" hidden="1" x14ac:dyDescent="0.25">
      <c r="A73" s="10" t="s">
        <v>55</v>
      </c>
      <c r="B73" s="10" t="s">
        <v>29</v>
      </c>
      <c r="C73" s="10" t="s">
        <v>23</v>
      </c>
      <c r="D73" s="10" t="s">
        <v>104</v>
      </c>
      <c r="E73" s="11" t="s">
        <v>40</v>
      </c>
      <c r="F73" s="12" t="s">
        <v>42</v>
      </c>
      <c r="G73" s="10" t="s">
        <v>53</v>
      </c>
      <c r="H73" s="10"/>
      <c r="I73" s="11">
        <f t="shared" ref="I73:I83" si="35">1/100</f>
        <v>0.01</v>
      </c>
      <c r="J73" s="13" t="s">
        <v>70</v>
      </c>
      <c r="K73" s="10">
        <f>0.55*N73</f>
        <v>717.2830188679211</v>
      </c>
      <c r="L73" s="10">
        <f>0.45*N73</f>
        <v>586.86792452829911</v>
      </c>
      <c r="M73" s="10"/>
      <c r="N73" s="12">
        <v>1304.1509433962201</v>
      </c>
      <c r="O73" s="10">
        <f t="shared" si="32"/>
        <v>1304.1509433962201</v>
      </c>
    </row>
    <row r="74" spans="1:15" hidden="1" x14ac:dyDescent="0.25">
      <c r="A74" s="10" t="s">
        <v>56</v>
      </c>
      <c r="B74" s="10" t="s">
        <v>30</v>
      </c>
      <c r="C74" s="10" t="s">
        <v>23</v>
      </c>
      <c r="D74" s="10">
        <v>11</v>
      </c>
      <c r="E74" s="11" t="s">
        <v>40</v>
      </c>
      <c r="F74" s="12" t="s">
        <v>43</v>
      </c>
      <c r="G74" s="10" t="s">
        <v>53</v>
      </c>
      <c r="H74" s="10"/>
      <c r="I74" s="11">
        <f t="shared" si="35"/>
        <v>0.01</v>
      </c>
      <c r="J74" s="13" t="s">
        <v>70</v>
      </c>
      <c r="K74" s="10">
        <f>0.58*N74</f>
        <v>157.58490566037725</v>
      </c>
      <c r="L74" s="10">
        <f>N74*0.32</f>
        <v>86.943396226415047</v>
      </c>
      <c r="M74" s="10">
        <f>0.1*N74</f>
        <v>27.169811320754704</v>
      </c>
      <c r="N74" s="12">
        <v>271.69811320754701</v>
      </c>
      <c r="O74" s="10">
        <f t="shared" si="32"/>
        <v>271.69811320754701</v>
      </c>
    </row>
    <row r="75" spans="1:15" hidden="1" x14ac:dyDescent="0.25">
      <c r="A75" s="10" t="s">
        <v>57</v>
      </c>
      <c r="B75" s="10" t="s">
        <v>31</v>
      </c>
      <c r="C75" s="10" t="s">
        <v>23</v>
      </c>
      <c r="D75" s="10">
        <v>5</v>
      </c>
      <c r="E75" s="11" t="s">
        <v>40</v>
      </c>
      <c r="F75" s="12" t="s">
        <v>44</v>
      </c>
      <c r="G75" s="10" t="s">
        <v>53</v>
      </c>
      <c r="H75" s="10"/>
      <c r="I75" s="11">
        <f t="shared" si="35"/>
        <v>0.01</v>
      </c>
      <c r="J75" s="13" t="s">
        <v>70</v>
      </c>
      <c r="K75" s="10">
        <f>0.5*N75</f>
        <v>338.11320754716951</v>
      </c>
      <c r="L75" s="10">
        <f>0.4*N75</f>
        <v>270.49056603773562</v>
      </c>
      <c r="M75" s="10">
        <f>0.1*N75</f>
        <v>67.622641509433905</v>
      </c>
      <c r="N75" s="12">
        <v>676.22641509433902</v>
      </c>
      <c r="O75" s="10">
        <f t="shared" si="32"/>
        <v>676.22641509433913</v>
      </c>
    </row>
    <row r="76" spans="1:15" hidden="1" x14ac:dyDescent="0.25">
      <c r="A76" s="10" t="s">
        <v>58</v>
      </c>
      <c r="B76" s="10" t="s">
        <v>32</v>
      </c>
      <c r="C76" s="10" t="s">
        <v>23</v>
      </c>
      <c r="D76" s="10">
        <v>6</v>
      </c>
      <c r="E76" s="11" t="s">
        <v>40</v>
      </c>
      <c r="F76" s="12" t="s">
        <v>45</v>
      </c>
      <c r="G76" s="10" t="s">
        <v>53</v>
      </c>
      <c r="H76" s="10"/>
      <c r="I76" s="11">
        <f t="shared" si="35"/>
        <v>0.01</v>
      </c>
      <c r="J76" s="13" t="s">
        <v>70</v>
      </c>
      <c r="K76" s="10">
        <f>0.55*N76</f>
        <v>139.47169811320737</v>
      </c>
      <c r="L76" s="10">
        <f>0.45*N76</f>
        <v>114.11320754716965</v>
      </c>
      <c r="M76" s="10"/>
      <c r="N76" s="12">
        <v>253.58490566037699</v>
      </c>
      <c r="O76" s="10">
        <f t="shared" si="32"/>
        <v>253.58490566037702</v>
      </c>
    </row>
    <row r="77" spans="1:15" hidden="1" x14ac:dyDescent="0.25">
      <c r="A77" s="10" t="s">
        <v>59</v>
      </c>
      <c r="B77" s="10" t="s">
        <v>33</v>
      </c>
      <c r="C77" s="10" t="s">
        <v>23</v>
      </c>
      <c r="D77" s="10">
        <v>2</v>
      </c>
      <c r="E77" s="11" t="s">
        <v>40</v>
      </c>
      <c r="F77" s="12" t="s">
        <v>46</v>
      </c>
      <c r="G77" s="10" t="s">
        <v>53</v>
      </c>
      <c r="H77" s="10"/>
      <c r="I77" s="11">
        <f t="shared" si="35"/>
        <v>0.01</v>
      </c>
      <c r="J77" s="13" t="s">
        <v>70</v>
      </c>
      <c r="K77" s="10">
        <f>0.7*N77</f>
        <v>431.09433962264103</v>
      </c>
      <c r="L77" s="10">
        <f>0.3*N77</f>
        <v>184.75471698113188</v>
      </c>
      <c r="M77" s="10"/>
      <c r="N77" s="12">
        <v>615.84905660377296</v>
      </c>
      <c r="O77" s="10">
        <f t="shared" si="32"/>
        <v>615.84905660377285</v>
      </c>
    </row>
    <row r="78" spans="1:15" hidden="1" x14ac:dyDescent="0.25">
      <c r="A78" s="10" t="s">
        <v>60</v>
      </c>
      <c r="B78" s="10" t="s">
        <v>34</v>
      </c>
      <c r="C78" s="10" t="s">
        <v>23</v>
      </c>
      <c r="D78" s="10">
        <v>11</v>
      </c>
      <c r="E78" s="11" t="s">
        <v>40</v>
      </c>
      <c r="F78" s="12" t="s">
        <v>47</v>
      </c>
      <c r="G78" s="10" t="s">
        <v>53</v>
      </c>
      <c r="H78" s="10"/>
      <c r="I78" s="11">
        <f t="shared" si="35"/>
        <v>0.01</v>
      </c>
      <c r="J78" s="13" t="s">
        <v>70</v>
      </c>
      <c r="K78" s="10">
        <f>0.3*N78</f>
        <v>220.98113207547149</v>
      </c>
      <c r="L78" s="10">
        <f>0.7*N78</f>
        <v>515.62264150943349</v>
      </c>
      <c r="M78" s="10"/>
      <c r="N78" s="12">
        <v>736.60377358490496</v>
      </c>
      <c r="O78" s="10">
        <f t="shared" si="32"/>
        <v>736.60377358490496</v>
      </c>
    </row>
    <row r="79" spans="1:15" hidden="1" x14ac:dyDescent="0.25">
      <c r="A79" s="10" t="s">
        <v>61</v>
      </c>
      <c r="B79" s="10" t="s">
        <v>35</v>
      </c>
      <c r="C79" s="10" t="s">
        <v>23</v>
      </c>
      <c r="D79" s="10">
        <v>16</v>
      </c>
      <c r="E79" s="11" t="s">
        <v>40</v>
      </c>
      <c r="F79" s="12" t="s">
        <v>48</v>
      </c>
      <c r="G79" s="10" t="s">
        <v>53</v>
      </c>
      <c r="H79" s="10"/>
      <c r="I79" s="11">
        <f t="shared" si="35"/>
        <v>0.01</v>
      </c>
      <c r="J79" s="13" t="s">
        <v>70</v>
      </c>
      <c r="K79" s="10">
        <f>0.75*N79</f>
        <v>276.22641509433902</v>
      </c>
      <c r="L79" s="10">
        <f>0.25*N79</f>
        <v>92.075471698113006</v>
      </c>
      <c r="M79" s="10"/>
      <c r="N79" s="12">
        <v>368.30188679245202</v>
      </c>
      <c r="O79" s="10">
        <f t="shared" si="32"/>
        <v>368.30188679245202</v>
      </c>
    </row>
    <row r="80" spans="1:15" hidden="1" x14ac:dyDescent="0.25">
      <c r="A80" s="10" t="s">
        <v>62</v>
      </c>
      <c r="B80" s="10" t="s">
        <v>36</v>
      </c>
      <c r="C80" s="10" t="s">
        <v>23</v>
      </c>
      <c r="D80" s="10">
        <v>12.7</v>
      </c>
      <c r="E80" s="11" t="s">
        <v>40</v>
      </c>
      <c r="F80" s="12" t="s">
        <v>49</v>
      </c>
      <c r="G80" s="10" t="s">
        <v>53</v>
      </c>
      <c r="H80" s="10"/>
      <c r="I80" s="11">
        <f t="shared" si="35"/>
        <v>0.01</v>
      </c>
      <c r="J80" s="13" t="s">
        <v>70</v>
      </c>
      <c r="K80" s="10">
        <f>0.38*N80</f>
        <v>146.83773584905634</v>
      </c>
      <c r="L80" s="10">
        <f>0.62*N80</f>
        <v>239.57735849056564</v>
      </c>
      <c r="M80" s="10"/>
      <c r="N80" s="12">
        <v>386.41509433962199</v>
      </c>
      <c r="O80" s="10">
        <f t="shared" si="32"/>
        <v>386.41509433962199</v>
      </c>
    </row>
    <row r="81" spans="1:16" hidden="1" x14ac:dyDescent="0.25">
      <c r="A81" s="10" t="s">
        <v>63</v>
      </c>
      <c r="B81" s="10" t="s">
        <v>37</v>
      </c>
      <c r="C81" s="10" t="s">
        <v>23</v>
      </c>
      <c r="D81" s="10">
        <v>23.5</v>
      </c>
      <c r="E81" s="11" t="s">
        <v>40</v>
      </c>
      <c r="F81" s="12" t="s">
        <v>50</v>
      </c>
      <c r="G81" s="10" t="s">
        <v>53</v>
      </c>
      <c r="H81" s="10"/>
      <c r="I81" s="11">
        <f t="shared" si="35"/>
        <v>0.01</v>
      </c>
      <c r="J81" s="13" t="s">
        <v>70</v>
      </c>
      <c r="K81" s="10">
        <f>0.4*N81</f>
        <v>536.15094339622408</v>
      </c>
      <c r="L81" s="10">
        <f>0.5*N81</f>
        <v>670.18867924528001</v>
      </c>
      <c r="M81" s="10">
        <f>0.1*N81</f>
        <v>134.03773584905602</v>
      </c>
      <c r="N81" s="12">
        <v>1340.37735849056</v>
      </c>
      <c r="O81" s="10">
        <f t="shared" si="32"/>
        <v>1340.37735849056</v>
      </c>
    </row>
    <row r="82" spans="1:16" hidden="1" x14ac:dyDescent="0.25">
      <c r="A82" s="10" t="s">
        <v>64</v>
      </c>
      <c r="B82" s="10" t="s">
        <v>38</v>
      </c>
      <c r="C82" s="10" t="s">
        <v>23</v>
      </c>
      <c r="D82" s="10">
        <v>24</v>
      </c>
      <c r="E82" s="11" t="s">
        <v>40</v>
      </c>
      <c r="F82" s="12" t="s">
        <v>51</v>
      </c>
      <c r="G82" s="10" t="s">
        <v>53</v>
      </c>
      <c r="H82" s="10"/>
      <c r="I82" s="11">
        <f t="shared" si="35"/>
        <v>0.01</v>
      </c>
      <c r="J82" s="13" t="s">
        <v>70</v>
      </c>
      <c r="K82" s="10">
        <f>0.7*N82</f>
        <v>443.77358490566013</v>
      </c>
      <c r="L82" s="10">
        <f>0.3*N82</f>
        <v>190.18867924528291</v>
      </c>
      <c r="M82" s="10"/>
      <c r="N82" s="12">
        <v>633.96226415094304</v>
      </c>
      <c r="O82" s="10">
        <f t="shared" si="32"/>
        <v>633.96226415094304</v>
      </c>
    </row>
    <row r="83" spans="1:16" hidden="1" x14ac:dyDescent="0.25">
      <c r="A83" s="10" t="s">
        <v>65</v>
      </c>
      <c r="B83" s="10" t="s">
        <v>39</v>
      </c>
      <c r="C83" s="10" t="s">
        <v>23</v>
      </c>
      <c r="D83" s="10">
        <v>6</v>
      </c>
      <c r="E83" s="11" t="s">
        <v>40</v>
      </c>
      <c r="F83" s="12" t="s">
        <v>52</v>
      </c>
      <c r="G83" s="10" t="s">
        <v>53</v>
      </c>
      <c r="H83" s="10"/>
      <c r="I83" s="11">
        <f t="shared" si="35"/>
        <v>0.01</v>
      </c>
      <c r="J83" s="13" t="s">
        <v>70</v>
      </c>
      <c r="K83" s="10">
        <f>0.5*N83</f>
        <v>507.17</v>
      </c>
      <c r="L83" s="10">
        <f>0.3*N83</f>
        <v>304.30200000000002</v>
      </c>
      <c r="M83" s="10">
        <f>0.2*N83</f>
        <v>202.86800000000002</v>
      </c>
      <c r="N83" s="12">
        <v>1014.34</v>
      </c>
      <c r="O83" s="10">
        <f t="shared" si="32"/>
        <v>1014.34</v>
      </c>
    </row>
    <row r="84" spans="1:16" s="8" customFormat="1" hidden="1" x14ac:dyDescent="0.25">
      <c r="A84" s="10" t="s">
        <v>92</v>
      </c>
      <c r="B84" s="10" t="s">
        <v>66</v>
      </c>
      <c r="C84" s="10" t="s">
        <v>23</v>
      </c>
      <c r="D84" s="10">
        <v>320</v>
      </c>
      <c r="E84" s="11" t="s">
        <v>71</v>
      </c>
      <c r="F84" s="15">
        <v>1076.2711864406799</v>
      </c>
      <c r="G84" s="10" t="s">
        <v>67</v>
      </c>
      <c r="H84" s="10"/>
      <c r="I84" s="11">
        <f>1.5/100</f>
        <v>1.4999999999999999E-2</v>
      </c>
      <c r="J84" s="13" t="s">
        <v>70</v>
      </c>
      <c r="K84" s="10">
        <f>1*N84</f>
        <v>687.5987405446723</v>
      </c>
      <c r="L84" s="10"/>
      <c r="M84" s="10"/>
      <c r="N84" s="10">
        <f>F84*'conversion factor'!$E$7</f>
        <v>687.5987405446723</v>
      </c>
      <c r="O84" s="10">
        <f t="shared" si="32"/>
        <v>687.5987405446723</v>
      </c>
    </row>
    <row r="85" spans="1:16" hidden="1" x14ac:dyDescent="0.25">
      <c r="A85" s="10" t="s">
        <v>92</v>
      </c>
      <c r="B85" s="10" t="s">
        <v>66</v>
      </c>
      <c r="C85" s="10" t="s">
        <v>23</v>
      </c>
      <c r="D85" s="10">
        <v>320</v>
      </c>
      <c r="E85" s="11" t="s">
        <v>74</v>
      </c>
      <c r="F85" s="15">
        <v>1101.9779090675572</v>
      </c>
      <c r="G85" s="10" t="s">
        <v>67</v>
      </c>
      <c r="H85" s="10"/>
      <c r="I85" s="11">
        <v>3.5000000000000003E-2</v>
      </c>
      <c r="J85" s="13" t="s">
        <v>70</v>
      </c>
      <c r="K85" s="10">
        <f>0.85*N85</f>
        <v>598.41872303153627</v>
      </c>
      <c r="L85" s="10">
        <f>0.15*N85</f>
        <v>105.60330406438875</v>
      </c>
      <c r="M85" s="10"/>
      <c r="N85" s="10">
        <f>F85*'conversion factor'!$E$7</f>
        <v>704.02202709592507</v>
      </c>
      <c r="O85" s="10">
        <f t="shared" si="32"/>
        <v>704.02202709592507</v>
      </c>
      <c r="P85">
        <f>I85/100</f>
        <v>3.5000000000000005E-4</v>
      </c>
    </row>
    <row r="86" spans="1:16" hidden="1" x14ac:dyDescent="0.25">
      <c r="A86" s="10" t="s">
        <v>92</v>
      </c>
      <c r="B86" s="10" t="s">
        <v>66</v>
      </c>
      <c r="C86" s="10" t="s">
        <v>23</v>
      </c>
      <c r="D86" s="10">
        <v>320</v>
      </c>
      <c r="E86" s="11" t="s">
        <v>75</v>
      </c>
      <c r="F86" s="15">
        <v>1009.7087378640778</v>
      </c>
      <c r="G86" s="10" t="s">
        <v>67</v>
      </c>
      <c r="H86" s="10"/>
      <c r="I86" s="11">
        <v>4.4999999999999998E-2</v>
      </c>
      <c r="J86" s="13" t="s">
        <v>70</v>
      </c>
      <c r="K86" s="10">
        <f>1*N86</f>
        <v>645.07390443881991</v>
      </c>
      <c r="L86" s="10">
        <f t="shared" ref="L86:L88" si="36">0.15*N86</f>
        <v>96.761085665822989</v>
      </c>
      <c r="M86" s="10"/>
      <c r="N86" s="10">
        <f>F86*'conversion factor'!$E$7</f>
        <v>645.07390443881991</v>
      </c>
      <c r="O86" s="10">
        <f t="shared" si="32"/>
        <v>741.83499010464288</v>
      </c>
      <c r="P86">
        <f t="shared" ref="P86:P149" si="37">I86/100</f>
        <v>4.4999999999999999E-4</v>
      </c>
    </row>
    <row r="87" spans="1:16" hidden="1" x14ac:dyDescent="0.25">
      <c r="A87" s="10" t="s">
        <v>92</v>
      </c>
      <c r="B87" s="10" t="s">
        <v>66</v>
      </c>
      <c r="C87" s="10" t="s">
        <v>23</v>
      </c>
      <c r="D87" s="10">
        <v>320</v>
      </c>
      <c r="E87" s="11" t="s">
        <v>76</v>
      </c>
      <c r="F87" s="15">
        <v>928.34610184767905</v>
      </c>
      <c r="G87" s="10" t="s">
        <v>67</v>
      </c>
      <c r="H87" s="10"/>
      <c r="I87" s="11">
        <v>5.5E-2</v>
      </c>
      <c r="J87" s="13" t="s">
        <v>70</v>
      </c>
      <c r="K87" s="10">
        <f>1*N87</f>
        <v>593.09365377608071</v>
      </c>
      <c r="L87" s="10">
        <f t="shared" si="36"/>
        <v>88.964048066412104</v>
      </c>
      <c r="M87" s="10"/>
      <c r="N87" s="10">
        <f>F87*'conversion factor'!$E$7</f>
        <v>593.09365377608071</v>
      </c>
      <c r="O87" s="10">
        <f t="shared" si="32"/>
        <v>682.05770184249286</v>
      </c>
      <c r="P87">
        <f t="shared" si="37"/>
        <v>5.5000000000000003E-4</v>
      </c>
    </row>
    <row r="88" spans="1:16" hidden="1" x14ac:dyDescent="0.25">
      <c r="A88" s="10" t="s">
        <v>92</v>
      </c>
      <c r="B88" s="10" t="s">
        <v>66</v>
      </c>
      <c r="C88" s="10" t="s">
        <v>23</v>
      </c>
      <c r="D88" s="10">
        <v>320</v>
      </c>
      <c r="E88" s="11" t="s">
        <v>77</v>
      </c>
      <c r="F88" s="15">
        <v>510.13588772555136</v>
      </c>
      <c r="G88" s="10" t="s">
        <v>67</v>
      </c>
      <c r="H88" s="10"/>
      <c r="I88" s="11">
        <v>6.5000000000000002E-2</v>
      </c>
      <c r="J88" s="13" t="s">
        <v>70</v>
      </c>
      <c r="K88" s="10">
        <f>1*N88</f>
        <v>325.91116284247062</v>
      </c>
      <c r="L88" s="10">
        <f t="shared" si="36"/>
        <v>48.88667442637059</v>
      </c>
      <c r="M88" s="10"/>
      <c r="N88" s="10">
        <f>F88*'conversion factor'!$E$7</f>
        <v>325.91116284247062</v>
      </c>
      <c r="O88" s="10">
        <f t="shared" si="32"/>
        <v>374.79783726884119</v>
      </c>
      <c r="P88">
        <f t="shared" si="37"/>
        <v>6.4999999999999997E-4</v>
      </c>
    </row>
    <row r="89" spans="1:16" hidden="1" x14ac:dyDescent="0.25">
      <c r="A89" s="10" t="s">
        <v>92</v>
      </c>
      <c r="B89" s="10" t="s">
        <v>66</v>
      </c>
      <c r="C89" s="10" t="s">
        <v>23</v>
      </c>
      <c r="D89" s="10">
        <v>320</v>
      </c>
      <c r="E89" s="11" t="s">
        <v>78</v>
      </c>
      <c r="F89" s="15">
        <v>570.37340993024213</v>
      </c>
      <c r="G89" s="10" t="s">
        <v>67</v>
      </c>
      <c r="H89" s="10"/>
      <c r="I89" s="11">
        <v>7.4999999999999997E-2</v>
      </c>
      <c r="J89" s="13" t="s">
        <v>70</v>
      </c>
      <c r="K89" s="10">
        <f>0.95*N89</f>
        <v>346.17542593976106</v>
      </c>
      <c r="L89" s="10">
        <f>0.05*N89</f>
        <v>18.219759259987423</v>
      </c>
      <c r="M89" s="10"/>
      <c r="N89" s="10">
        <f>F89*'conversion factor'!$E$7</f>
        <v>364.39518519974848</v>
      </c>
      <c r="O89" s="10">
        <f t="shared" si="32"/>
        <v>364.39518519974848</v>
      </c>
      <c r="P89">
        <f t="shared" si="37"/>
        <v>7.5000000000000002E-4</v>
      </c>
    </row>
    <row r="90" spans="1:16" hidden="1" x14ac:dyDescent="0.25">
      <c r="A90" s="10" t="s">
        <v>92</v>
      </c>
      <c r="B90" s="10" t="s">
        <v>66</v>
      </c>
      <c r="C90" s="10" t="s">
        <v>23</v>
      </c>
      <c r="D90" s="10">
        <v>320</v>
      </c>
      <c r="E90" s="11" t="s">
        <v>79</v>
      </c>
      <c r="F90" s="15">
        <v>418.32141911570022</v>
      </c>
      <c r="G90" s="10" t="s">
        <v>67</v>
      </c>
      <c r="H90" s="10"/>
      <c r="I90" s="11">
        <v>8.5000000000000006E-2</v>
      </c>
      <c r="J90" s="13" t="s">
        <v>70</v>
      </c>
      <c r="K90" s="10">
        <f>1*N90</f>
        <v>267.25353660916664</v>
      </c>
      <c r="L90" s="10"/>
      <c r="M90" s="10"/>
      <c r="N90" s="10">
        <f>F90*'conversion factor'!$E$7</f>
        <v>267.25353660916664</v>
      </c>
      <c r="O90" s="10">
        <f t="shared" si="32"/>
        <v>267.25353660916664</v>
      </c>
      <c r="P90">
        <f t="shared" si="37"/>
        <v>8.5000000000000006E-4</v>
      </c>
    </row>
    <row r="91" spans="1:16" hidden="1" x14ac:dyDescent="0.25">
      <c r="A91" s="10" t="s">
        <v>92</v>
      </c>
      <c r="B91" s="10" t="s">
        <v>66</v>
      </c>
      <c r="C91" s="10" t="s">
        <v>23</v>
      </c>
      <c r="D91" s="10">
        <v>320</v>
      </c>
      <c r="E91" s="11" t="s">
        <v>80</v>
      </c>
      <c r="F91" s="15">
        <v>546.58736901727559</v>
      </c>
      <c r="G91" s="10" t="s">
        <v>67</v>
      </c>
      <c r="H91" s="10"/>
      <c r="I91" s="11">
        <v>9.5000000000000001E-2</v>
      </c>
      <c r="J91" s="13" t="s">
        <v>70</v>
      </c>
      <c r="K91" s="10">
        <f t="shared" ref="K91:K100" si="38">1*N91</f>
        <v>349.19896701575334</v>
      </c>
      <c r="L91" s="10"/>
      <c r="M91" s="10"/>
      <c r="N91" s="10">
        <f>F91*'conversion factor'!$E$7</f>
        <v>349.19896701575334</v>
      </c>
      <c r="O91" s="10">
        <f t="shared" si="32"/>
        <v>349.19896701575334</v>
      </c>
      <c r="P91">
        <f t="shared" si="37"/>
        <v>9.5E-4</v>
      </c>
    </row>
    <row r="92" spans="1:16" hidden="1" x14ac:dyDescent="0.25">
      <c r="A92" s="10" t="s">
        <v>92</v>
      </c>
      <c r="B92" s="10" t="s">
        <v>66</v>
      </c>
      <c r="C92" s="10" t="s">
        <v>23</v>
      </c>
      <c r="D92" s="10">
        <v>320</v>
      </c>
      <c r="E92" s="11" t="s">
        <v>81</v>
      </c>
      <c r="F92" s="15">
        <v>522.75379229871646</v>
      </c>
      <c r="G92" s="10" t="s">
        <v>67</v>
      </c>
      <c r="H92" s="10"/>
      <c r="I92" s="11">
        <v>0.105</v>
      </c>
      <c r="J92" s="13" t="s">
        <v>70</v>
      </c>
      <c r="K92" s="10">
        <f t="shared" si="38"/>
        <v>333.97237957123355</v>
      </c>
      <c r="L92" s="10"/>
      <c r="M92" s="10"/>
      <c r="N92" s="10">
        <f>F92*'conversion factor'!$E$7</f>
        <v>333.97237957123355</v>
      </c>
      <c r="O92" s="10">
        <f t="shared" si="32"/>
        <v>333.97237957123355</v>
      </c>
      <c r="P92">
        <f t="shared" si="37"/>
        <v>1.0499999999999999E-3</v>
      </c>
    </row>
    <row r="93" spans="1:16" hidden="1" x14ac:dyDescent="0.25">
      <c r="A93" s="10" t="s">
        <v>92</v>
      </c>
      <c r="B93" s="10" t="s">
        <v>72</v>
      </c>
      <c r="C93" s="10" t="s">
        <v>23</v>
      </c>
      <c r="D93" s="10">
        <v>312</v>
      </c>
      <c r="E93" s="11" t="s">
        <v>71</v>
      </c>
      <c r="F93" s="15">
        <v>1343.0376270255429</v>
      </c>
      <c r="G93" s="10" t="s">
        <v>67</v>
      </c>
      <c r="H93" s="10"/>
      <c r="I93" s="11">
        <v>1.4999999999999999E-2</v>
      </c>
      <c r="J93" s="13" t="s">
        <v>70</v>
      </c>
      <c r="K93" s="10">
        <f t="shared" si="38"/>
        <v>858.028155432522</v>
      </c>
      <c r="L93" s="10"/>
      <c r="M93" s="10"/>
      <c r="N93" s="10">
        <f>F93*'conversion factor'!$E$7</f>
        <v>858.028155432522</v>
      </c>
      <c r="O93" s="10">
        <f t="shared" si="32"/>
        <v>858.028155432522</v>
      </c>
      <c r="P93">
        <f t="shared" si="37"/>
        <v>1.4999999999999999E-4</v>
      </c>
    </row>
    <row r="94" spans="1:16" hidden="1" x14ac:dyDescent="0.25">
      <c r="A94" s="10" t="s">
        <v>92</v>
      </c>
      <c r="B94" s="10" t="s">
        <v>72</v>
      </c>
      <c r="C94" s="10" t="s">
        <v>23</v>
      </c>
      <c r="D94" s="10">
        <v>312</v>
      </c>
      <c r="E94" s="11" t="s">
        <v>74</v>
      </c>
      <c r="F94" s="15">
        <v>2036.568213783404</v>
      </c>
      <c r="G94" s="10" t="s">
        <v>67</v>
      </c>
      <c r="H94" s="10"/>
      <c r="I94" s="11">
        <v>3.5000000000000003E-2</v>
      </c>
      <c r="J94" s="13" t="s">
        <v>70</v>
      </c>
      <c r="K94" s="10">
        <f t="shared" si="38"/>
        <v>1301.1049226931646</v>
      </c>
      <c r="L94" s="10"/>
      <c r="M94" s="10"/>
      <c r="N94" s="10">
        <f>F94*'conversion factor'!$E$7</f>
        <v>1301.1049226931646</v>
      </c>
      <c r="O94" s="10">
        <f t="shared" si="32"/>
        <v>1301.1049226931646</v>
      </c>
      <c r="P94">
        <f t="shared" si="37"/>
        <v>3.5000000000000005E-4</v>
      </c>
    </row>
    <row r="95" spans="1:16" hidden="1" x14ac:dyDescent="0.25">
      <c r="A95" s="10" t="s">
        <v>92</v>
      </c>
      <c r="B95" s="10" t="s">
        <v>72</v>
      </c>
      <c r="C95" s="10" t="s">
        <v>23</v>
      </c>
      <c r="D95" s="10">
        <v>312</v>
      </c>
      <c r="E95" s="11" t="s">
        <v>75</v>
      </c>
      <c r="F95" s="15">
        <v>5270.27027027027</v>
      </c>
      <c r="G95" s="10" t="s">
        <v>67</v>
      </c>
      <c r="H95" s="10"/>
      <c r="I95" s="11">
        <v>4.4999999999999998E-2</v>
      </c>
      <c r="J95" s="13" t="s">
        <v>70</v>
      </c>
      <c r="K95" s="10">
        <f t="shared" si="38"/>
        <v>3367.0242647228943</v>
      </c>
      <c r="L95" s="10"/>
      <c r="M95" s="10"/>
      <c r="N95" s="10">
        <f>F95*'conversion factor'!$E$7</f>
        <v>3367.0242647228943</v>
      </c>
      <c r="O95" s="10">
        <f t="shared" si="32"/>
        <v>3367.0242647228943</v>
      </c>
      <c r="P95">
        <f t="shared" si="37"/>
        <v>4.4999999999999999E-4</v>
      </c>
    </row>
    <row r="96" spans="1:16" hidden="1" x14ac:dyDescent="0.25">
      <c r="A96" s="10" t="s">
        <v>92</v>
      </c>
      <c r="B96" s="10" t="s">
        <v>72</v>
      </c>
      <c r="C96" s="10" t="s">
        <v>23</v>
      </c>
      <c r="D96" s="10">
        <v>312</v>
      </c>
      <c r="E96" s="11" t="s">
        <v>76</v>
      </c>
      <c r="F96" s="15">
        <v>309.39540164632416</v>
      </c>
      <c r="G96" s="10" t="s">
        <v>67</v>
      </c>
      <c r="H96" s="10"/>
      <c r="I96" s="11">
        <v>5.5E-2</v>
      </c>
      <c r="J96" s="13" t="s">
        <v>70</v>
      </c>
      <c r="K96" s="10">
        <f t="shared" si="38"/>
        <v>197.66383341160918</v>
      </c>
      <c r="L96" s="10"/>
      <c r="M96" s="10"/>
      <c r="N96" s="10">
        <f>F96*'conversion factor'!$E$7</f>
        <v>197.66383341160918</v>
      </c>
      <c r="O96" s="10">
        <f t="shared" si="32"/>
        <v>197.66383341160918</v>
      </c>
      <c r="P96">
        <f t="shared" si="37"/>
        <v>5.5000000000000003E-4</v>
      </c>
    </row>
    <row r="97" spans="1:16" hidden="1" x14ac:dyDescent="0.25">
      <c r="A97" s="10" t="s">
        <v>92</v>
      </c>
      <c r="B97" s="10" t="s">
        <v>72</v>
      </c>
      <c r="C97" s="10" t="s">
        <v>23</v>
      </c>
      <c r="D97" s="10">
        <v>312</v>
      </c>
      <c r="E97" s="11" t="s">
        <v>77</v>
      </c>
      <c r="F97" s="15">
        <v>476.05712685522258</v>
      </c>
      <c r="G97" s="10" t="s">
        <v>67</v>
      </c>
      <c r="H97" s="10"/>
      <c r="I97" s="11">
        <v>6.5000000000000002E-2</v>
      </c>
      <c r="J97" s="13" t="s">
        <v>70</v>
      </c>
      <c r="K97" s="10">
        <f t="shared" si="38"/>
        <v>304.1392215799209</v>
      </c>
      <c r="L97" s="10"/>
      <c r="M97" s="10"/>
      <c r="N97" s="10">
        <f>F97*'conversion factor'!$E$7</f>
        <v>304.1392215799209</v>
      </c>
      <c r="O97" s="10">
        <f t="shared" si="32"/>
        <v>304.1392215799209</v>
      </c>
      <c r="P97">
        <f t="shared" si="37"/>
        <v>6.4999999999999997E-4</v>
      </c>
    </row>
    <row r="98" spans="1:16" hidden="1" x14ac:dyDescent="0.25">
      <c r="A98" s="10" t="s">
        <v>92</v>
      </c>
      <c r="B98" s="10" t="s">
        <v>72</v>
      </c>
      <c r="C98" s="10" t="s">
        <v>23</v>
      </c>
      <c r="D98" s="10">
        <v>312</v>
      </c>
      <c r="E98" s="11" t="s">
        <v>78</v>
      </c>
      <c r="F98" s="15">
        <v>882.35294117647061</v>
      </c>
      <c r="G98" s="10" t="s">
        <v>67</v>
      </c>
      <c r="H98" s="10"/>
      <c r="I98" s="11">
        <v>7.4999999999999997E-2</v>
      </c>
      <c r="J98" s="13" t="s">
        <v>70</v>
      </c>
      <c r="K98" s="10">
        <f t="shared" si="38"/>
        <v>563.70994477261127</v>
      </c>
      <c r="L98" s="10"/>
      <c r="M98" s="10"/>
      <c r="N98" s="10">
        <f>F98*'conversion factor'!$E$7</f>
        <v>563.70994477261127</v>
      </c>
      <c r="O98" s="10">
        <f t="shared" si="32"/>
        <v>563.70994477261127</v>
      </c>
      <c r="P98">
        <f t="shared" si="37"/>
        <v>7.5000000000000002E-4</v>
      </c>
    </row>
    <row r="99" spans="1:16" hidden="1" x14ac:dyDescent="0.25">
      <c r="A99" s="10" t="s">
        <v>92</v>
      </c>
      <c r="B99" s="10" t="s">
        <v>72</v>
      </c>
      <c r="C99" s="10" t="s">
        <v>23</v>
      </c>
      <c r="D99" s="10">
        <v>312</v>
      </c>
      <c r="E99" s="11" t="s">
        <v>79</v>
      </c>
      <c r="F99" s="15">
        <v>294.77821448624371</v>
      </c>
      <c r="G99" s="10" t="s">
        <v>67</v>
      </c>
      <c r="H99" s="10"/>
      <c r="I99" s="11">
        <v>8.5000000000000006E-2</v>
      </c>
      <c r="J99" s="13" t="s">
        <v>70</v>
      </c>
      <c r="K99" s="10">
        <f t="shared" si="38"/>
        <v>188.32533247597067</v>
      </c>
      <c r="L99" s="10"/>
      <c r="M99" s="10"/>
      <c r="N99" s="10">
        <f>F99*'conversion factor'!$E$7</f>
        <v>188.32533247597067</v>
      </c>
      <c r="O99" s="10">
        <f t="shared" si="32"/>
        <v>188.32533247597067</v>
      </c>
      <c r="P99">
        <f t="shared" si="37"/>
        <v>8.5000000000000006E-4</v>
      </c>
    </row>
    <row r="100" spans="1:16" hidden="1" x14ac:dyDescent="0.25">
      <c r="A100" s="10" t="s">
        <v>92</v>
      </c>
      <c r="B100" s="10" t="s">
        <v>72</v>
      </c>
      <c r="C100" s="10" t="s">
        <v>23</v>
      </c>
      <c r="D100" s="10">
        <v>312</v>
      </c>
      <c r="E100" s="11" t="s">
        <v>80</v>
      </c>
      <c r="F100" s="15">
        <v>1912.8949615713063</v>
      </c>
      <c r="G100" s="10" t="s">
        <v>67</v>
      </c>
      <c r="H100" s="10"/>
      <c r="I100" s="11">
        <v>9.5000000000000001E-2</v>
      </c>
      <c r="J100" s="13" t="s">
        <v>70</v>
      </c>
      <c r="K100" s="10">
        <f t="shared" si="38"/>
        <v>1222.0936348955897</v>
      </c>
      <c r="L100" s="10"/>
      <c r="M100" s="10"/>
      <c r="N100" s="10">
        <f>F100*'conversion factor'!$E$7</f>
        <v>1222.0936348955897</v>
      </c>
      <c r="O100" s="10">
        <f t="shared" si="32"/>
        <v>1222.0936348955897</v>
      </c>
      <c r="P100">
        <f t="shared" si="37"/>
        <v>9.5E-4</v>
      </c>
    </row>
    <row r="101" spans="1:16" hidden="1" x14ac:dyDescent="0.25">
      <c r="A101" s="10" t="s">
        <v>92</v>
      </c>
      <c r="B101" s="10" t="s">
        <v>72</v>
      </c>
      <c r="C101" s="10" t="s">
        <v>23</v>
      </c>
      <c r="D101" s="10">
        <v>312</v>
      </c>
      <c r="E101" s="11" t="s">
        <v>81</v>
      </c>
      <c r="F101" s="15">
        <v>456.75135598058807</v>
      </c>
      <c r="G101" s="10" t="s">
        <v>67</v>
      </c>
      <c r="H101" s="10"/>
      <c r="I101" s="11">
        <v>0.105</v>
      </c>
      <c r="J101" s="13" t="s">
        <v>70</v>
      </c>
      <c r="K101" s="10">
        <f>0.9*N101</f>
        <v>262.62478728772527</v>
      </c>
      <c r="L101" s="10">
        <f>0.1*N101</f>
        <v>29.180531920858364</v>
      </c>
      <c r="M101" s="10"/>
      <c r="N101" s="10">
        <f>F101*'conversion factor'!$E$7</f>
        <v>291.80531920858363</v>
      </c>
      <c r="O101" s="10">
        <f t="shared" si="32"/>
        <v>291.80531920858363</v>
      </c>
      <c r="P101">
        <f t="shared" si="37"/>
        <v>1.0499999999999999E-3</v>
      </c>
    </row>
    <row r="102" spans="1:16" hidden="1" x14ac:dyDescent="0.25">
      <c r="A102" s="10" t="s">
        <v>92</v>
      </c>
      <c r="B102" s="10" t="s">
        <v>72</v>
      </c>
      <c r="C102" s="10" t="s">
        <v>23</v>
      </c>
      <c r="D102" s="10">
        <v>312</v>
      </c>
      <c r="E102" s="11" t="s">
        <v>82</v>
      </c>
      <c r="F102" s="15">
        <v>321.76832680470056</v>
      </c>
      <c r="G102" s="10" t="s">
        <v>67</v>
      </c>
      <c r="H102" s="10"/>
      <c r="I102" s="11">
        <v>0.115</v>
      </c>
      <c r="J102" s="13" t="s">
        <v>70</v>
      </c>
      <c r="K102" s="10">
        <f>1*N102</f>
        <v>205.5685398303404</v>
      </c>
      <c r="L102" s="10"/>
      <c r="M102" s="10"/>
      <c r="N102" s="10">
        <f>F102*'conversion factor'!$E$7</f>
        <v>205.5685398303404</v>
      </c>
      <c r="O102" s="10">
        <f t="shared" si="32"/>
        <v>205.5685398303404</v>
      </c>
      <c r="P102">
        <f t="shared" si="37"/>
        <v>1.15E-3</v>
      </c>
    </row>
    <row r="103" spans="1:16" hidden="1" x14ac:dyDescent="0.25">
      <c r="A103" s="10" t="s">
        <v>92</v>
      </c>
      <c r="B103" s="10" t="s">
        <v>72</v>
      </c>
      <c r="C103" s="10" t="s">
        <v>23</v>
      </c>
      <c r="D103" s="10">
        <v>312</v>
      </c>
      <c r="E103" s="11" t="s">
        <v>83</v>
      </c>
      <c r="F103" s="15">
        <v>353.10734463276839</v>
      </c>
      <c r="G103" s="10" t="s">
        <v>67</v>
      </c>
      <c r="H103" s="10"/>
      <c r="I103" s="11">
        <v>0.125</v>
      </c>
      <c r="J103" s="13" t="s">
        <v>70</v>
      </c>
      <c r="K103" s="10">
        <f t="shared" ref="K103:K128" si="39">1*N103</f>
        <v>225.59013797397344</v>
      </c>
      <c r="L103" s="10"/>
      <c r="M103" s="10"/>
      <c r="N103" s="10">
        <f>F103*'conversion factor'!$E$7</f>
        <v>225.59013797397344</v>
      </c>
      <c r="O103" s="10">
        <f t="shared" si="32"/>
        <v>225.59013797397344</v>
      </c>
      <c r="P103">
        <f t="shared" si="37"/>
        <v>1.25E-3</v>
      </c>
    </row>
    <row r="104" spans="1:16" hidden="1" x14ac:dyDescent="0.25">
      <c r="A104" s="10" t="s">
        <v>92</v>
      </c>
      <c r="B104" s="10" t="s">
        <v>72</v>
      </c>
      <c r="C104" s="10" t="s">
        <v>23</v>
      </c>
      <c r="D104" s="10">
        <v>312</v>
      </c>
      <c r="E104" s="11" t="s">
        <v>84</v>
      </c>
      <c r="F104" s="15">
        <v>249.22118380062307</v>
      </c>
      <c r="G104" s="10" t="s">
        <v>67</v>
      </c>
      <c r="H104" s="10"/>
      <c r="I104" s="11">
        <v>0.13500000000000001</v>
      </c>
      <c r="J104" s="13" t="s">
        <v>70</v>
      </c>
      <c r="K104" s="10">
        <f t="shared" si="39"/>
        <v>159.22025439060258</v>
      </c>
      <c r="L104" s="10"/>
      <c r="M104" s="10"/>
      <c r="N104" s="10">
        <f>F104*'conversion factor'!$E$7</f>
        <v>159.22025439060258</v>
      </c>
      <c r="O104" s="10">
        <f t="shared" si="32"/>
        <v>159.22025439060258</v>
      </c>
      <c r="P104">
        <f t="shared" si="37"/>
        <v>1.3500000000000001E-3</v>
      </c>
    </row>
    <row r="105" spans="1:16" hidden="1" x14ac:dyDescent="0.25">
      <c r="A105" s="10" t="s">
        <v>92</v>
      </c>
      <c r="B105" s="10" t="s">
        <v>73</v>
      </c>
      <c r="C105" s="10" t="s">
        <v>23</v>
      </c>
      <c r="D105" s="10">
        <v>144.1</v>
      </c>
      <c r="E105" s="11" t="s">
        <v>71</v>
      </c>
      <c r="F105" s="15">
        <v>412.19649915302085</v>
      </c>
      <c r="G105" s="10" t="s">
        <v>67</v>
      </c>
      <c r="H105" s="10"/>
      <c r="I105" s="11">
        <v>1.4999999999999999E-2</v>
      </c>
      <c r="J105" s="13" t="s">
        <v>70</v>
      </c>
      <c r="K105" s="10">
        <f t="shared" si="39"/>
        <v>263.34050120941481</v>
      </c>
      <c r="L105" s="10"/>
      <c r="M105" s="10"/>
      <c r="N105" s="10">
        <f>F105*'conversion factor'!$E$7</f>
        <v>263.34050120941481</v>
      </c>
      <c r="O105" s="10">
        <f t="shared" si="32"/>
        <v>263.34050120941481</v>
      </c>
      <c r="P105">
        <f t="shared" si="37"/>
        <v>1.4999999999999999E-4</v>
      </c>
    </row>
    <row r="106" spans="1:16" hidden="1" x14ac:dyDescent="0.25">
      <c r="A106" s="10" t="s">
        <v>92</v>
      </c>
      <c r="B106" s="10" t="s">
        <v>73</v>
      </c>
      <c r="C106" s="10" t="s">
        <v>23</v>
      </c>
      <c r="D106" s="10">
        <v>144.1</v>
      </c>
      <c r="E106" s="11" t="s">
        <v>74</v>
      </c>
      <c r="F106" s="15">
        <v>631.84498736310024</v>
      </c>
      <c r="G106" s="10" t="s">
        <v>67</v>
      </c>
      <c r="H106" s="10"/>
      <c r="I106" s="11">
        <v>3.5000000000000003E-2</v>
      </c>
      <c r="J106" s="13" t="s">
        <v>70</v>
      </c>
      <c r="K106" s="10">
        <f t="shared" si="39"/>
        <v>403.66760998881176</v>
      </c>
      <c r="L106" s="10"/>
      <c r="M106" s="10"/>
      <c r="N106" s="10">
        <f>F106*'conversion factor'!$E$7</f>
        <v>403.66760998881176</v>
      </c>
      <c r="O106" s="10">
        <f t="shared" si="32"/>
        <v>403.66760998881176</v>
      </c>
      <c r="P106">
        <f t="shared" si="37"/>
        <v>3.5000000000000005E-4</v>
      </c>
    </row>
    <row r="107" spans="1:16" hidden="1" x14ac:dyDescent="0.25">
      <c r="A107" s="10" t="s">
        <v>92</v>
      </c>
      <c r="B107" s="10" t="s">
        <v>73</v>
      </c>
      <c r="C107" s="10" t="s">
        <v>23</v>
      </c>
      <c r="D107" s="10">
        <v>144.1</v>
      </c>
      <c r="E107" s="11" t="s">
        <v>75</v>
      </c>
      <c r="F107" s="15">
        <v>931.60709259780469</v>
      </c>
      <c r="G107" s="10" t="s">
        <v>67</v>
      </c>
      <c r="H107" s="10"/>
      <c r="I107" s="11">
        <v>4.4999999999999998E-2</v>
      </c>
      <c r="J107" s="13" t="s">
        <v>70</v>
      </c>
      <c r="K107" s="10">
        <f t="shared" si="39"/>
        <v>595.17700708049233</v>
      </c>
      <c r="L107" s="10"/>
      <c r="M107" s="10"/>
      <c r="N107" s="10">
        <f>F107*'conversion factor'!$E$7</f>
        <v>595.17700708049233</v>
      </c>
      <c r="O107" s="10">
        <f t="shared" si="32"/>
        <v>595.17700708049233</v>
      </c>
      <c r="P107">
        <f t="shared" si="37"/>
        <v>4.4999999999999999E-4</v>
      </c>
    </row>
    <row r="108" spans="1:16" hidden="1" x14ac:dyDescent="0.25">
      <c r="A108" s="10" t="s">
        <v>92</v>
      </c>
      <c r="B108" s="10" t="s">
        <v>73</v>
      </c>
      <c r="C108" s="10" t="s">
        <v>23</v>
      </c>
      <c r="D108" s="10">
        <v>144.1</v>
      </c>
      <c r="E108" s="11" t="s">
        <v>76</v>
      </c>
      <c r="F108" s="15">
        <v>895.72933998890733</v>
      </c>
      <c r="G108" s="10" t="s">
        <v>67</v>
      </c>
      <c r="H108" s="10"/>
      <c r="I108" s="11">
        <v>5.5E-2</v>
      </c>
      <c r="J108" s="13" t="s">
        <v>70</v>
      </c>
      <c r="K108" s="10">
        <f t="shared" si="39"/>
        <v>572.25574167986838</v>
      </c>
      <c r="L108" s="10"/>
      <c r="M108" s="10"/>
      <c r="N108" s="10">
        <f>F108*'conversion factor'!$E$7</f>
        <v>572.25574167986838</v>
      </c>
      <c r="O108" s="10">
        <f t="shared" si="32"/>
        <v>572.25574167986838</v>
      </c>
      <c r="P108">
        <f t="shared" si="37"/>
        <v>5.5000000000000003E-4</v>
      </c>
    </row>
    <row r="109" spans="1:16" hidden="1" x14ac:dyDescent="0.25">
      <c r="A109" s="10" t="s">
        <v>92</v>
      </c>
      <c r="B109" s="10" t="s">
        <v>73</v>
      </c>
      <c r="C109" s="10" t="s">
        <v>23</v>
      </c>
      <c r="D109" s="10">
        <v>144.1</v>
      </c>
      <c r="E109" s="11" t="s">
        <v>77</v>
      </c>
      <c r="F109" s="15">
        <v>53.581500282007894</v>
      </c>
      <c r="G109" s="10" t="s">
        <v>67</v>
      </c>
      <c r="H109" s="10"/>
      <c r="I109" s="11">
        <v>6.5000000000000002E-2</v>
      </c>
      <c r="J109" s="13" t="s">
        <v>70</v>
      </c>
      <c r="K109" s="10">
        <f t="shared" si="39"/>
        <v>34.231681173444905</v>
      </c>
      <c r="L109" s="10"/>
      <c r="M109" s="10"/>
      <c r="N109" s="10">
        <f>F109*'conversion factor'!$E$7</f>
        <v>34.231681173444905</v>
      </c>
      <c r="O109" s="10">
        <f t="shared" si="32"/>
        <v>34.231681173444905</v>
      </c>
      <c r="P109">
        <f t="shared" si="37"/>
        <v>6.4999999999999997E-4</v>
      </c>
    </row>
    <row r="110" spans="1:16" hidden="1" x14ac:dyDescent="0.25">
      <c r="A110" s="10" t="s">
        <v>92</v>
      </c>
      <c r="B110" s="10" t="s">
        <v>73</v>
      </c>
      <c r="C110" s="10" t="s">
        <v>23</v>
      </c>
      <c r="D110" s="10">
        <v>144.1</v>
      </c>
      <c r="E110" s="11" t="s">
        <v>78</v>
      </c>
      <c r="F110" s="15">
        <v>412.19649915302085</v>
      </c>
      <c r="G110" s="10" t="s">
        <v>67</v>
      </c>
      <c r="H110" s="10"/>
      <c r="I110" s="11">
        <v>7.4999999999999997E-2</v>
      </c>
      <c r="J110" s="13" t="s">
        <v>70</v>
      </c>
      <c r="K110" s="10">
        <f t="shared" si="39"/>
        <v>263.34050120941481</v>
      </c>
      <c r="L110" s="10"/>
      <c r="M110" s="10"/>
      <c r="N110" s="10">
        <f>F110*'conversion factor'!$E$7</f>
        <v>263.34050120941481</v>
      </c>
      <c r="O110" s="10">
        <f t="shared" si="32"/>
        <v>263.34050120941481</v>
      </c>
      <c r="P110">
        <f t="shared" si="37"/>
        <v>7.5000000000000002E-4</v>
      </c>
    </row>
    <row r="111" spans="1:16" hidden="1" x14ac:dyDescent="0.25">
      <c r="A111" s="10" t="s">
        <v>92</v>
      </c>
      <c r="B111" s="10" t="s">
        <v>73</v>
      </c>
      <c r="C111" s="10" t="s">
        <v>23</v>
      </c>
      <c r="D111" s="10">
        <v>144.1</v>
      </c>
      <c r="E111" s="11" t="s">
        <v>79</v>
      </c>
      <c r="F111" s="15">
        <v>631.84498736310024</v>
      </c>
      <c r="G111" s="10" t="s">
        <v>67</v>
      </c>
      <c r="H111" s="10"/>
      <c r="I111" s="11">
        <v>8.5000000000000006E-2</v>
      </c>
      <c r="J111" s="13" t="s">
        <v>70</v>
      </c>
      <c r="K111" s="10">
        <f t="shared" si="39"/>
        <v>403.66760998881176</v>
      </c>
      <c r="L111" s="10"/>
      <c r="M111" s="10"/>
      <c r="N111" s="10">
        <f>F111*'conversion factor'!$E$7</f>
        <v>403.66760998881176</v>
      </c>
      <c r="O111" s="10">
        <f t="shared" si="32"/>
        <v>403.66760998881176</v>
      </c>
      <c r="P111">
        <f t="shared" si="37"/>
        <v>8.5000000000000006E-4</v>
      </c>
    </row>
    <row r="112" spans="1:16" hidden="1" x14ac:dyDescent="0.25">
      <c r="A112" s="10" t="s">
        <v>92</v>
      </c>
      <c r="B112" s="10" t="s">
        <v>73</v>
      </c>
      <c r="C112" s="10" t="s">
        <v>23</v>
      </c>
      <c r="D112" s="10">
        <v>144.1</v>
      </c>
      <c r="E112" s="11" t="s">
        <v>80</v>
      </c>
      <c r="F112" s="15">
        <v>931.60709259780469</v>
      </c>
      <c r="G112" s="10" t="s">
        <v>67</v>
      </c>
      <c r="H112" s="10"/>
      <c r="I112" s="11">
        <v>9.5000000000000001E-2</v>
      </c>
      <c r="J112" s="13" t="s">
        <v>70</v>
      </c>
      <c r="K112" s="10">
        <f t="shared" si="39"/>
        <v>595.17700708049233</v>
      </c>
      <c r="L112" s="10"/>
      <c r="M112" s="10"/>
      <c r="N112" s="10">
        <f>F112*'conversion factor'!$E$7</f>
        <v>595.17700708049233</v>
      </c>
      <c r="O112" s="10">
        <f t="shared" si="32"/>
        <v>595.17700708049233</v>
      </c>
      <c r="P112">
        <f t="shared" si="37"/>
        <v>9.5E-4</v>
      </c>
    </row>
    <row r="113" spans="1:16" hidden="1" x14ac:dyDescent="0.25">
      <c r="A113" s="10" t="s">
        <v>92</v>
      </c>
      <c r="B113" s="10" t="s">
        <v>73</v>
      </c>
      <c r="C113" s="10" t="s">
        <v>23</v>
      </c>
      <c r="D113" s="10">
        <v>144.1</v>
      </c>
      <c r="E113" s="11" t="s">
        <v>81</v>
      </c>
      <c r="F113" s="15">
        <v>895.72933998890733</v>
      </c>
      <c r="G113" s="10" t="s">
        <v>67</v>
      </c>
      <c r="H113" s="10"/>
      <c r="I113" s="11">
        <v>0.105</v>
      </c>
      <c r="J113" s="13" t="s">
        <v>70</v>
      </c>
      <c r="K113" s="10">
        <f t="shared" si="39"/>
        <v>572.25574167986838</v>
      </c>
      <c r="L113" s="10"/>
      <c r="M113" s="10"/>
      <c r="N113" s="10">
        <f>F113*'conversion factor'!$E$7</f>
        <v>572.25574167986838</v>
      </c>
      <c r="O113" s="10">
        <f t="shared" si="32"/>
        <v>572.25574167986838</v>
      </c>
      <c r="P113">
        <f t="shared" si="37"/>
        <v>1.0499999999999999E-3</v>
      </c>
    </row>
    <row r="114" spans="1:16" hidden="1" x14ac:dyDescent="0.25">
      <c r="A114" s="10" t="s">
        <v>92</v>
      </c>
      <c r="B114" s="10" t="s">
        <v>73</v>
      </c>
      <c r="C114" s="10" t="s">
        <v>23</v>
      </c>
      <c r="D114" s="10">
        <v>144.1</v>
      </c>
      <c r="E114" s="11" t="s">
        <v>82</v>
      </c>
      <c r="F114" s="15">
        <v>53.581500282007894</v>
      </c>
      <c r="G114" s="10" t="s">
        <v>67</v>
      </c>
      <c r="H114" s="10"/>
      <c r="I114" s="11">
        <v>0.115</v>
      </c>
      <c r="J114" s="13" t="s">
        <v>70</v>
      </c>
      <c r="K114" s="10">
        <f t="shared" si="39"/>
        <v>34.231681173444905</v>
      </c>
      <c r="L114" s="10"/>
      <c r="M114" s="10"/>
      <c r="N114" s="10">
        <f>F114*'conversion factor'!$E$7</f>
        <v>34.231681173444905</v>
      </c>
      <c r="O114" s="10">
        <f t="shared" si="32"/>
        <v>34.231681173444905</v>
      </c>
      <c r="P114">
        <f t="shared" si="37"/>
        <v>1.15E-3</v>
      </c>
    </row>
    <row r="115" spans="1:16" hidden="1" x14ac:dyDescent="0.25">
      <c r="A115" s="10" t="s">
        <v>92</v>
      </c>
      <c r="B115" s="10" t="s">
        <v>73</v>
      </c>
      <c r="C115" s="10" t="s">
        <v>23</v>
      </c>
      <c r="D115" s="10">
        <v>144.1</v>
      </c>
      <c r="E115" s="11" t="s">
        <v>83</v>
      </c>
      <c r="F115" s="15">
        <v>162.55605381165918</v>
      </c>
      <c r="G115" s="10" t="s">
        <v>67</v>
      </c>
      <c r="H115" s="10"/>
      <c r="I115" s="11">
        <v>0.125</v>
      </c>
      <c r="J115" s="13" t="s">
        <v>70</v>
      </c>
      <c r="K115" s="10">
        <f t="shared" si="39"/>
        <v>103.85239266550722</v>
      </c>
      <c r="L115" s="10"/>
      <c r="M115" s="10"/>
      <c r="N115" s="10">
        <f>F115*'conversion factor'!$E$7</f>
        <v>103.85239266550722</v>
      </c>
      <c r="O115" s="10">
        <f t="shared" si="32"/>
        <v>103.85239266550722</v>
      </c>
      <c r="P115">
        <f t="shared" si="37"/>
        <v>1.25E-3</v>
      </c>
    </row>
    <row r="116" spans="1:16" hidden="1" x14ac:dyDescent="0.25">
      <c r="A116" s="10" t="s">
        <v>92</v>
      </c>
      <c r="B116" s="10" t="s">
        <v>73</v>
      </c>
      <c r="C116" s="10" t="s">
        <v>23</v>
      </c>
      <c r="D116" s="10">
        <v>144.1</v>
      </c>
      <c r="E116" s="11" t="s">
        <v>84</v>
      </c>
      <c r="F116" s="15">
        <v>217.75544388609714</v>
      </c>
      <c r="G116" s="10" t="s">
        <v>67</v>
      </c>
      <c r="H116" s="10"/>
      <c r="I116" s="11">
        <v>0.13500000000000001</v>
      </c>
      <c r="J116" s="13" t="s">
        <v>70</v>
      </c>
      <c r="K116" s="10">
        <f t="shared" si="39"/>
        <v>139.1176971465629</v>
      </c>
      <c r="L116" s="10"/>
      <c r="M116" s="10"/>
      <c r="N116" s="10">
        <f>F116*'conversion factor'!$E$7</f>
        <v>139.1176971465629</v>
      </c>
      <c r="O116" s="10">
        <f t="shared" si="32"/>
        <v>139.1176971465629</v>
      </c>
      <c r="P116">
        <f t="shared" si="37"/>
        <v>1.3500000000000001E-3</v>
      </c>
    </row>
    <row r="117" spans="1:16" hidden="1" x14ac:dyDescent="0.25">
      <c r="A117" s="10" t="s">
        <v>92</v>
      </c>
      <c r="B117" s="10" t="s">
        <v>85</v>
      </c>
      <c r="C117" s="10" t="s">
        <v>23</v>
      </c>
      <c r="D117" s="10">
        <v>196.3</v>
      </c>
      <c r="E117" s="11" t="s">
        <v>71</v>
      </c>
      <c r="F117" s="15">
        <v>1351.8830803822375</v>
      </c>
      <c r="G117" s="10" t="s">
        <v>67</v>
      </c>
      <c r="H117" s="10"/>
      <c r="I117" s="11">
        <v>1.4999999999999999E-2</v>
      </c>
      <c r="J117" s="13" t="s">
        <v>70</v>
      </c>
      <c r="K117" s="10">
        <f t="shared" si="39"/>
        <v>863.67926145880517</v>
      </c>
      <c r="L117" s="10"/>
      <c r="M117" s="10"/>
      <c r="N117" s="10">
        <f>F117*'conversion factor'!$E$7</f>
        <v>863.67926145880517</v>
      </c>
      <c r="O117" s="10">
        <f t="shared" si="32"/>
        <v>863.67926145880517</v>
      </c>
      <c r="P117">
        <f t="shared" si="37"/>
        <v>1.4999999999999999E-4</v>
      </c>
    </row>
    <row r="118" spans="1:16" hidden="1" x14ac:dyDescent="0.25">
      <c r="A118" s="10" t="s">
        <v>92</v>
      </c>
      <c r="B118" s="10" t="s">
        <v>85</v>
      </c>
      <c r="C118" s="10" t="s">
        <v>23</v>
      </c>
      <c r="D118" s="10">
        <v>196.3</v>
      </c>
      <c r="E118" s="11" t="s">
        <v>74</v>
      </c>
      <c r="F118" s="15">
        <v>417.47843028110219</v>
      </c>
      <c r="G118" s="10" t="s">
        <v>67</v>
      </c>
      <c r="H118" s="10"/>
      <c r="I118" s="11">
        <v>3.5000000000000003E-2</v>
      </c>
      <c r="J118" s="13" t="s">
        <v>70</v>
      </c>
      <c r="K118" s="10">
        <f t="shared" si="39"/>
        <v>266.71497526118543</v>
      </c>
      <c r="L118" s="10"/>
      <c r="M118" s="10"/>
      <c r="N118" s="10">
        <f>F118*'conversion factor'!$E$7</f>
        <v>266.71497526118543</v>
      </c>
      <c r="O118" s="10">
        <f t="shared" si="32"/>
        <v>266.71497526118543</v>
      </c>
      <c r="P118">
        <f t="shared" si="37"/>
        <v>3.5000000000000005E-4</v>
      </c>
    </row>
    <row r="119" spans="1:16" hidden="1" x14ac:dyDescent="0.25">
      <c r="A119" s="10" t="s">
        <v>92</v>
      </c>
      <c r="B119" s="10" t="s">
        <v>85</v>
      </c>
      <c r="C119" s="10" t="s">
        <v>23</v>
      </c>
      <c r="D119" s="10">
        <v>196.3</v>
      </c>
      <c r="E119" s="11" t="s">
        <v>75</v>
      </c>
      <c r="F119" s="15">
        <v>253.02220972729828</v>
      </c>
      <c r="G119" s="10" t="s">
        <v>67</v>
      </c>
      <c r="H119" s="10"/>
      <c r="I119" s="11">
        <v>4.4999999999999998E-2</v>
      </c>
      <c r="J119" s="13" t="s">
        <v>70</v>
      </c>
      <c r="K119" s="10">
        <f t="shared" si="39"/>
        <v>161.64862065450197</v>
      </c>
      <c r="L119" s="10"/>
      <c r="M119" s="10"/>
      <c r="N119" s="10">
        <f>F119*'conversion factor'!$E$7</f>
        <v>161.64862065450197</v>
      </c>
      <c r="O119" s="10">
        <f t="shared" si="32"/>
        <v>161.64862065450197</v>
      </c>
      <c r="P119">
        <f t="shared" si="37"/>
        <v>4.4999999999999999E-4</v>
      </c>
    </row>
    <row r="120" spans="1:16" hidden="1" x14ac:dyDescent="0.25">
      <c r="A120" s="10" t="s">
        <v>92</v>
      </c>
      <c r="B120" s="10" t="s">
        <v>85</v>
      </c>
      <c r="C120" s="10" t="s">
        <v>23</v>
      </c>
      <c r="D120" s="10">
        <v>196.3</v>
      </c>
      <c r="E120" s="11" t="s">
        <v>76</v>
      </c>
      <c r="F120" s="15">
        <v>390.82412914188615</v>
      </c>
      <c r="G120" s="10" t="s">
        <v>67</v>
      </c>
      <c r="H120" s="10"/>
      <c r="I120" s="11">
        <v>5.5E-2</v>
      </c>
      <c r="J120" s="13" t="s">
        <v>70</v>
      </c>
      <c r="K120" s="10">
        <f t="shared" si="39"/>
        <v>249.68630802162673</v>
      </c>
      <c r="L120" s="10"/>
      <c r="M120" s="10"/>
      <c r="N120" s="10">
        <f>F120*'conversion factor'!$E$7</f>
        <v>249.68630802162673</v>
      </c>
      <c r="O120" s="10">
        <f t="shared" si="32"/>
        <v>249.68630802162673</v>
      </c>
      <c r="P120">
        <f t="shared" si="37"/>
        <v>5.5000000000000003E-4</v>
      </c>
    </row>
    <row r="121" spans="1:16" hidden="1" x14ac:dyDescent="0.25">
      <c r="A121" s="10" t="s">
        <v>92</v>
      </c>
      <c r="B121" s="10" t="s">
        <v>85</v>
      </c>
      <c r="C121" s="10" t="s">
        <v>23</v>
      </c>
      <c r="D121" s="10">
        <v>196.3</v>
      </c>
      <c r="E121" s="11" t="s">
        <v>77</v>
      </c>
      <c r="F121" s="15">
        <v>240.79320113314449</v>
      </c>
      <c r="G121" s="10" t="s">
        <v>67</v>
      </c>
      <c r="H121" s="10"/>
      <c r="I121" s="11">
        <v>6.5000000000000002E-2</v>
      </c>
      <c r="J121" s="13" t="s">
        <v>70</v>
      </c>
      <c r="K121" s="10">
        <f t="shared" si="39"/>
        <v>153.83585839403651</v>
      </c>
      <c r="L121" s="10"/>
      <c r="M121" s="10"/>
      <c r="N121" s="10">
        <f>F121*'conversion factor'!$E$7</f>
        <v>153.83585839403651</v>
      </c>
      <c r="O121" s="10">
        <f t="shared" si="32"/>
        <v>153.83585839403651</v>
      </c>
      <c r="P121">
        <f t="shared" si="37"/>
        <v>6.4999999999999997E-4</v>
      </c>
    </row>
    <row r="122" spans="1:16" hidden="1" x14ac:dyDescent="0.25">
      <c r="A122" s="10" t="s">
        <v>92</v>
      </c>
      <c r="B122" s="10" t="s">
        <v>85</v>
      </c>
      <c r="C122" s="10" t="s">
        <v>23</v>
      </c>
      <c r="D122" s="10">
        <v>196.3</v>
      </c>
      <c r="E122" s="11" t="s">
        <v>78</v>
      </c>
      <c r="F122" s="15">
        <v>10178.064223915666</v>
      </c>
      <c r="G122" s="10" t="s">
        <v>67</v>
      </c>
      <c r="H122" s="10"/>
      <c r="I122" s="11">
        <v>7.4999999999999997E-2</v>
      </c>
      <c r="J122" s="13" t="s">
        <v>70</v>
      </c>
      <c r="K122" s="10">
        <f t="shared" si="39"/>
        <v>6502.4728244296693</v>
      </c>
      <c r="L122" s="10"/>
      <c r="M122" s="10"/>
      <c r="N122" s="10">
        <f>F122*'conversion factor'!$E$7</f>
        <v>6502.4728244296693</v>
      </c>
      <c r="O122" s="10">
        <f t="shared" si="32"/>
        <v>6502.4728244296693</v>
      </c>
      <c r="P122">
        <f t="shared" si="37"/>
        <v>7.5000000000000002E-4</v>
      </c>
    </row>
    <row r="123" spans="1:16" hidden="1" x14ac:dyDescent="0.25">
      <c r="A123" s="10" t="s">
        <v>92</v>
      </c>
      <c r="B123" s="10" t="s">
        <v>85</v>
      </c>
      <c r="C123" s="10" t="s">
        <v>23</v>
      </c>
      <c r="D123" s="10">
        <v>196.3</v>
      </c>
      <c r="E123" s="11" t="s">
        <v>79</v>
      </c>
      <c r="F123" s="15">
        <v>12490.518311069554</v>
      </c>
      <c r="G123" s="10" t="s">
        <v>67</v>
      </c>
      <c r="H123" s="10"/>
      <c r="I123" s="11">
        <v>8.5000000000000006E-2</v>
      </c>
      <c r="J123" s="13" t="s">
        <v>70</v>
      </c>
      <c r="K123" s="10">
        <f t="shared" si="39"/>
        <v>7979.833305622883</v>
      </c>
      <c r="L123" s="10"/>
      <c r="M123" s="10"/>
      <c r="N123" s="10">
        <f>F123*'conversion factor'!$E$7</f>
        <v>7979.833305622883</v>
      </c>
      <c r="O123" s="10">
        <f t="shared" si="32"/>
        <v>7979.833305622883</v>
      </c>
      <c r="P123">
        <f t="shared" si="37"/>
        <v>8.5000000000000006E-4</v>
      </c>
    </row>
    <row r="124" spans="1:16" hidden="1" x14ac:dyDescent="0.25">
      <c r="A124" s="10" t="s">
        <v>92</v>
      </c>
      <c r="B124" s="10" t="s">
        <v>85</v>
      </c>
      <c r="C124" s="10" t="s">
        <v>23</v>
      </c>
      <c r="D124" s="10">
        <v>196.3</v>
      </c>
      <c r="E124" s="11" t="s">
        <v>80</v>
      </c>
      <c r="F124" s="15">
        <v>6281.3149509451978</v>
      </c>
      <c r="G124" s="10" t="s">
        <v>67</v>
      </c>
      <c r="H124" s="10"/>
      <c r="I124" s="11">
        <v>9.5000000000000001E-2</v>
      </c>
      <c r="J124" s="13" t="s">
        <v>70</v>
      </c>
      <c r="K124" s="10">
        <f t="shared" si="39"/>
        <v>4012.9516646429211</v>
      </c>
      <c r="L124" s="10"/>
      <c r="M124" s="10"/>
      <c r="N124" s="10">
        <f>F124*'conversion factor'!$E$7</f>
        <v>4012.9516646429211</v>
      </c>
      <c r="O124" s="10">
        <f t="shared" si="32"/>
        <v>4012.9516646429211</v>
      </c>
      <c r="P124">
        <f t="shared" si="37"/>
        <v>9.5E-4</v>
      </c>
    </row>
    <row r="125" spans="1:16" hidden="1" x14ac:dyDescent="0.25">
      <c r="A125" s="10" t="s">
        <v>92</v>
      </c>
      <c r="B125" s="10" t="s">
        <v>85</v>
      </c>
      <c r="C125" s="10" t="s">
        <v>23</v>
      </c>
      <c r="D125" s="10">
        <v>196.3</v>
      </c>
      <c r="E125" s="11" t="s">
        <v>81</v>
      </c>
      <c r="F125" s="15">
        <v>4750.4660388342554</v>
      </c>
      <c r="G125" s="10" t="s">
        <v>67</v>
      </c>
      <c r="H125" s="10"/>
      <c r="I125" s="11">
        <v>0.105</v>
      </c>
      <c r="J125" s="13" t="s">
        <v>70</v>
      </c>
      <c r="K125" s="10">
        <f t="shared" si="39"/>
        <v>3034.9362748481467</v>
      </c>
      <c r="L125" s="10"/>
      <c r="M125" s="10"/>
      <c r="N125" s="10">
        <f>F125*'conversion factor'!$E$7</f>
        <v>3034.9362748481467</v>
      </c>
      <c r="O125" s="10">
        <f t="shared" si="32"/>
        <v>3034.9362748481467</v>
      </c>
      <c r="P125">
        <f t="shared" si="37"/>
        <v>1.0499999999999999E-3</v>
      </c>
    </row>
    <row r="126" spans="1:16" hidden="1" x14ac:dyDescent="0.25">
      <c r="A126" s="10" t="s">
        <v>92</v>
      </c>
      <c r="B126" s="10" t="s">
        <v>85</v>
      </c>
      <c r="C126" s="10" t="s">
        <v>23</v>
      </c>
      <c r="D126" s="10">
        <v>196.3</v>
      </c>
      <c r="E126" s="11" t="s">
        <v>82</v>
      </c>
      <c r="F126" s="15">
        <v>7106.5280647809286</v>
      </c>
      <c r="G126" s="10" t="s">
        <v>67</v>
      </c>
      <c r="H126" s="10"/>
      <c r="I126" s="11">
        <v>0.115</v>
      </c>
      <c r="J126" s="13" t="s">
        <v>70</v>
      </c>
      <c r="K126" s="10">
        <f t="shared" si="39"/>
        <v>4540.1566153123586</v>
      </c>
      <c r="L126" s="10"/>
      <c r="M126" s="10"/>
      <c r="N126" s="10">
        <f>F126*'conversion factor'!$E$7</f>
        <v>4540.1566153123586</v>
      </c>
      <c r="O126" s="10">
        <f t="shared" si="32"/>
        <v>4540.1566153123586</v>
      </c>
      <c r="P126">
        <f t="shared" si="37"/>
        <v>1.15E-3</v>
      </c>
    </row>
    <row r="127" spans="1:16" hidden="1" x14ac:dyDescent="0.25">
      <c r="A127" s="10" t="s">
        <v>92</v>
      </c>
      <c r="B127" s="10" t="s">
        <v>85</v>
      </c>
      <c r="C127" s="10" t="s">
        <v>23</v>
      </c>
      <c r="D127" s="10">
        <v>196.3</v>
      </c>
      <c r="E127" s="11" t="s">
        <v>83</v>
      </c>
      <c r="F127" s="15">
        <v>8993.1335863340864</v>
      </c>
      <c r="G127" s="10" t="s">
        <v>67</v>
      </c>
      <c r="H127" s="10"/>
      <c r="I127" s="11">
        <v>0.125</v>
      </c>
      <c r="J127" s="13" t="s">
        <v>70</v>
      </c>
      <c r="K127" s="10">
        <f t="shared" si="39"/>
        <v>5745.4546822564507</v>
      </c>
      <c r="L127" s="10"/>
      <c r="M127" s="10"/>
      <c r="N127" s="10">
        <f>F127*'conversion factor'!$E$7</f>
        <v>5745.4546822564507</v>
      </c>
      <c r="O127" s="10">
        <f t="shared" si="32"/>
        <v>5745.4546822564507</v>
      </c>
      <c r="P127">
        <f t="shared" si="37"/>
        <v>1.25E-3</v>
      </c>
    </row>
    <row r="128" spans="1:16" hidden="1" x14ac:dyDescent="0.25">
      <c r="A128" s="10" t="s">
        <v>92</v>
      </c>
      <c r="B128" s="10" t="s">
        <v>91</v>
      </c>
      <c r="C128" s="10" t="s">
        <v>23</v>
      </c>
      <c r="D128" s="10">
        <v>268.60000000000002</v>
      </c>
      <c r="E128" s="11" t="s">
        <v>71</v>
      </c>
      <c r="F128" s="15">
        <v>2110.8622620380738</v>
      </c>
      <c r="G128" s="10" t="s">
        <v>67</v>
      </c>
      <c r="H128" s="10"/>
      <c r="I128" s="11">
        <v>1.4999999999999999E-2</v>
      </c>
      <c r="J128" s="13" t="s">
        <v>70</v>
      </c>
      <c r="K128" s="10">
        <f t="shared" si="39"/>
        <v>1348.5692557102147</v>
      </c>
      <c r="L128" s="10"/>
      <c r="M128" s="10"/>
      <c r="N128" s="10">
        <f>F128*'conversion factor'!$E$7</f>
        <v>1348.5692557102147</v>
      </c>
      <c r="O128" s="10">
        <f t="shared" si="32"/>
        <v>1348.5692557102147</v>
      </c>
      <c r="P128">
        <f t="shared" si="37"/>
        <v>1.4999999999999999E-4</v>
      </c>
    </row>
    <row r="129" spans="1:16" hidden="1" x14ac:dyDescent="0.25">
      <c r="A129" s="10" t="s">
        <v>92</v>
      </c>
      <c r="B129" s="10" t="s">
        <v>91</v>
      </c>
      <c r="C129" s="10" t="s">
        <v>23</v>
      </c>
      <c r="D129" s="10">
        <v>268.60000000000002</v>
      </c>
      <c r="E129" s="11" t="s">
        <v>74</v>
      </c>
      <c r="F129" s="15">
        <v>928.91532143868574</v>
      </c>
      <c r="G129" s="10" t="s">
        <v>67</v>
      </c>
      <c r="H129" s="10"/>
      <c r="I129" s="11">
        <v>3.5000000000000003E-2</v>
      </c>
      <c r="J129" s="13" t="s">
        <v>70</v>
      </c>
      <c r="K129" s="10">
        <f>0.95*N129</f>
        <v>563.78444622854261</v>
      </c>
      <c r="L129" s="10">
        <f>0.05*N129</f>
        <v>29.672865590975928</v>
      </c>
      <c r="M129" s="10"/>
      <c r="N129" s="10">
        <f>F129*'conversion factor'!$E$7</f>
        <v>593.45731181951851</v>
      </c>
      <c r="O129" s="10">
        <f t="shared" si="32"/>
        <v>593.45731181951851</v>
      </c>
      <c r="P129">
        <f t="shared" si="37"/>
        <v>3.5000000000000005E-4</v>
      </c>
    </row>
    <row r="130" spans="1:16" hidden="1" x14ac:dyDescent="0.25">
      <c r="A130" s="10" t="s">
        <v>92</v>
      </c>
      <c r="B130" s="10" t="s">
        <v>91</v>
      </c>
      <c r="C130" s="10" t="s">
        <v>23</v>
      </c>
      <c r="D130" s="10">
        <v>268.60000000000002</v>
      </c>
      <c r="E130" s="11" t="s">
        <v>75</v>
      </c>
      <c r="F130" s="15">
        <v>561.63998876720018</v>
      </c>
      <c r="G130" s="10" t="s">
        <v>67</v>
      </c>
      <c r="H130" s="10"/>
      <c r="I130" s="11">
        <v>4.4999999999999998E-2</v>
      </c>
      <c r="J130" s="13" t="s">
        <v>70</v>
      </c>
      <c r="K130" s="10">
        <f>0.9*N130</f>
        <v>322.93408799104941</v>
      </c>
      <c r="L130" s="10">
        <f>0.1*N130</f>
        <v>35.881565332338823</v>
      </c>
      <c r="M130" s="10"/>
      <c r="N130" s="10">
        <f>F130*'conversion factor'!$E$7</f>
        <v>358.81565332338823</v>
      </c>
      <c r="O130" s="10">
        <f t="shared" si="32"/>
        <v>358.81565332338823</v>
      </c>
      <c r="P130">
        <f t="shared" si="37"/>
        <v>4.4999999999999999E-4</v>
      </c>
    </row>
    <row r="131" spans="1:16" hidden="1" x14ac:dyDescent="0.25">
      <c r="A131" s="10" t="s">
        <v>92</v>
      </c>
      <c r="B131" s="10" t="s">
        <v>91</v>
      </c>
      <c r="C131" s="10" t="s">
        <v>23</v>
      </c>
      <c r="D131" s="10">
        <v>268.60000000000002</v>
      </c>
      <c r="E131" s="11" t="s">
        <v>76</v>
      </c>
      <c r="F131" s="15">
        <v>639.81719508711797</v>
      </c>
      <c r="G131" s="10" t="s">
        <v>67</v>
      </c>
      <c r="H131" s="10"/>
      <c r="I131" s="11">
        <v>5.5E-2</v>
      </c>
      <c r="J131" s="13" t="s">
        <v>70</v>
      </c>
      <c r="K131" s="10">
        <f>1*N131</f>
        <v>408.76082446807652</v>
      </c>
      <c r="L131" s="10"/>
      <c r="M131" s="10"/>
      <c r="N131" s="10">
        <f>F131*'conversion factor'!$E$7</f>
        <v>408.76082446807652</v>
      </c>
      <c r="O131" s="10">
        <f t="shared" ref="O131:O194" si="40">SUM(K131:M131)</f>
        <v>408.76082446807652</v>
      </c>
      <c r="P131">
        <f t="shared" si="37"/>
        <v>5.5000000000000003E-4</v>
      </c>
    </row>
    <row r="132" spans="1:16" hidden="1" x14ac:dyDescent="0.25">
      <c r="A132" s="10" t="s">
        <v>92</v>
      </c>
      <c r="B132" s="10" t="s">
        <v>91</v>
      </c>
      <c r="C132" s="10" t="s">
        <v>23</v>
      </c>
      <c r="D132" s="10">
        <v>268.60000000000002</v>
      </c>
      <c r="E132" s="11" t="s">
        <v>77</v>
      </c>
      <c r="F132" s="15">
        <v>204.42930153321976</v>
      </c>
      <c r="G132" s="10" t="s">
        <v>67</v>
      </c>
      <c r="H132" s="10"/>
      <c r="I132" s="11">
        <v>6.5000000000000002E-2</v>
      </c>
      <c r="J132" s="13" t="s">
        <v>70</v>
      </c>
      <c r="K132" s="10">
        <f>1*N132</f>
        <v>130.60400764748744</v>
      </c>
      <c r="L132" s="10"/>
      <c r="M132" s="10"/>
      <c r="N132" s="10">
        <f>F132*'conversion factor'!$E$7</f>
        <v>130.60400764748744</v>
      </c>
      <c r="O132" s="10">
        <f t="shared" si="40"/>
        <v>130.60400764748744</v>
      </c>
      <c r="P132">
        <f t="shared" si="37"/>
        <v>6.4999999999999997E-4</v>
      </c>
    </row>
    <row r="133" spans="1:16" hidden="1" x14ac:dyDescent="0.25">
      <c r="A133" s="10" t="s">
        <v>92</v>
      </c>
      <c r="B133" s="10" t="s">
        <v>91</v>
      </c>
      <c r="C133" s="10" t="s">
        <v>23</v>
      </c>
      <c r="D133" s="10">
        <v>268.60000000000002</v>
      </c>
      <c r="E133" s="11" t="s">
        <v>78</v>
      </c>
      <c r="F133" s="15">
        <v>175.97765363128491</v>
      </c>
      <c r="G133" s="10" t="s">
        <v>67</v>
      </c>
      <c r="H133" s="10"/>
      <c r="I133" s="11">
        <v>7.4999999999999997E-2</v>
      </c>
      <c r="J133" s="13" t="s">
        <v>70</v>
      </c>
      <c r="K133" s="10">
        <f>0.85*N133</f>
        <v>95.563007118016145</v>
      </c>
      <c r="L133" s="10">
        <f>0.15*N133</f>
        <v>16.864060079649906</v>
      </c>
      <c r="M133" s="10"/>
      <c r="N133" s="10">
        <f>F133*'conversion factor'!$E$7</f>
        <v>112.42706719766605</v>
      </c>
      <c r="O133" s="10">
        <f t="shared" si="40"/>
        <v>112.42706719766605</v>
      </c>
      <c r="P133">
        <f t="shared" si="37"/>
        <v>7.5000000000000002E-4</v>
      </c>
    </row>
    <row r="134" spans="1:16" hidden="1" x14ac:dyDescent="0.25">
      <c r="A134" s="10" t="s">
        <v>92</v>
      </c>
      <c r="B134" s="10" t="s">
        <v>91</v>
      </c>
      <c r="C134" s="10" t="s">
        <v>23</v>
      </c>
      <c r="D134" s="10">
        <v>268.60000000000002</v>
      </c>
      <c r="E134" s="11" t="s">
        <v>79</v>
      </c>
      <c r="F134" s="15">
        <v>113.0901894260673</v>
      </c>
      <c r="G134" s="10" t="s">
        <v>67</v>
      </c>
      <c r="H134" s="10"/>
      <c r="I134" s="11">
        <v>8.5000000000000006E-2</v>
      </c>
      <c r="J134" s="13" t="s">
        <v>70</v>
      </c>
      <c r="K134" s="10">
        <f>1*N134</f>
        <v>72.250073027118219</v>
      </c>
      <c r="L134" s="10"/>
      <c r="M134" s="10"/>
      <c r="N134" s="10">
        <f>F134*'conversion factor'!$E$7</f>
        <v>72.250073027118219</v>
      </c>
      <c r="O134" s="10">
        <f t="shared" si="40"/>
        <v>72.250073027118219</v>
      </c>
      <c r="P134">
        <f t="shared" si="37"/>
        <v>8.5000000000000006E-4</v>
      </c>
    </row>
    <row r="135" spans="1:16" hidden="1" x14ac:dyDescent="0.25">
      <c r="A135" s="10" t="s">
        <v>92</v>
      </c>
      <c r="B135" s="10" t="s">
        <v>91</v>
      </c>
      <c r="C135" s="10" t="s">
        <v>23</v>
      </c>
      <c r="D135" s="10">
        <v>268.60000000000002</v>
      </c>
      <c r="E135" s="11" t="s">
        <v>80</v>
      </c>
      <c r="F135" s="15">
        <v>318.09145129224652</v>
      </c>
      <c r="G135" s="10" t="s">
        <v>67</v>
      </c>
      <c r="H135" s="10"/>
      <c r="I135" s="11">
        <v>9.5000000000000001E-2</v>
      </c>
      <c r="J135" s="13" t="s">
        <v>70</v>
      </c>
      <c r="K135" s="10">
        <f>1*N135</f>
        <v>203.21948969933766</v>
      </c>
      <c r="L135" s="10"/>
      <c r="M135" s="10"/>
      <c r="N135" s="10">
        <f>F135*'conversion factor'!$E$7</f>
        <v>203.21948969933766</v>
      </c>
      <c r="O135" s="10">
        <f t="shared" si="40"/>
        <v>203.21948969933766</v>
      </c>
      <c r="P135">
        <f t="shared" si="37"/>
        <v>9.5E-4</v>
      </c>
    </row>
    <row r="136" spans="1:16" hidden="1" x14ac:dyDescent="0.25">
      <c r="A136" s="10" t="s">
        <v>92</v>
      </c>
      <c r="B136" s="10" t="s">
        <v>91</v>
      </c>
      <c r="C136" s="10" t="s">
        <v>23</v>
      </c>
      <c r="D136" s="10">
        <v>268.60000000000002</v>
      </c>
      <c r="E136" s="11" t="s">
        <v>81</v>
      </c>
      <c r="F136" s="15">
        <v>727.32378545352435</v>
      </c>
      <c r="G136" s="10" t="s">
        <v>67</v>
      </c>
      <c r="H136" s="10"/>
      <c r="I136" s="11">
        <v>0.105</v>
      </c>
      <c r="J136" s="13" t="s">
        <v>70</v>
      </c>
      <c r="K136" s="10">
        <f t="shared" ref="K136:K139" si="41">1*N136</f>
        <v>464.6662710537878</v>
      </c>
      <c r="L136" s="10"/>
      <c r="M136" s="10"/>
      <c r="N136" s="10">
        <f>F136*'conversion factor'!$E$7</f>
        <v>464.6662710537878</v>
      </c>
      <c r="O136" s="10">
        <f t="shared" si="40"/>
        <v>464.6662710537878</v>
      </c>
      <c r="P136">
        <f t="shared" si="37"/>
        <v>1.0499999999999999E-3</v>
      </c>
    </row>
    <row r="137" spans="1:16" hidden="1" x14ac:dyDescent="0.25">
      <c r="A137" s="10" t="s">
        <v>92</v>
      </c>
      <c r="B137" s="10" t="s">
        <v>91</v>
      </c>
      <c r="C137" s="10" t="s">
        <v>23</v>
      </c>
      <c r="D137" s="10">
        <v>268.60000000000002</v>
      </c>
      <c r="E137" s="11" t="s">
        <v>82</v>
      </c>
      <c r="F137" s="15">
        <v>600.22650056625139</v>
      </c>
      <c r="G137" s="10" t="s">
        <v>67</v>
      </c>
      <c r="H137" s="10"/>
      <c r="I137" s="11">
        <v>0.115</v>
      </c>
      <c r="J137" s="13" t="s">
        <v>70</v>
      </c>
      <c r="K137" s="10">
        <f t="shared" si="41"/>
        <v>383.46746714996056</v>
      </c>
      <c r="L137" s="10"/>
      <c r="M137" s="10"/>
      <c r="N137" s="10">
        <f>F137*'conversion factor'!$E$7</f>
        <v>383.46746714996056</v>
      </c>
      <c r="O137" s="10">
        <f t="shared" si="40"/>
        <v>383.46746714996056</v>
      </c>
      <c r="P137">
        <f t="shared" si="37"/>
        <v>1.15E-3</v>
      </c>
    </row>
    <row r="138" spans="1:16" hidden="1" x14ac:dyDescent="0.25">
      <c r="A138" s="10" t="s">
        <v>92</v>
      </c>
      <c r="B138" s="10" t="s">
        <v>91</v>
      </c>
      <c r="C138" s="10" t="s">
        <v>23</v>
      </c>
      <c r="D138" s="10">
        <v>268.60000000000002</v>
      </c>
      <c r="E138" s="11" t="s">
        <v>83</v>
      </c>
      <c r="F138" s="15">
        <v>352.70880361173818</v>
      </c>
      <c r="G138" s="10" t="s">
        <v>67</v>
      </c>
      <c r="H138" s="10"/>
      <c r="I138" s="11">
        <v>0.125</v>
      </c>
      <c r="J138" s="13" t="s">
        <v>70</v>
      </c>
      <c r="K138" s="10">
        <f t="shared" si="41"/>
        <v>225.33552156542495</v>
      </c>
      <c r="L138" s="10"/>
      <c r="M138" s="10"/>
      <c r="N138" s="10">
        <f>F138*'conversion factor'!$E$7</f>
        <v>225.33552156542495</v>
      </c>
      <c r="O138" s="10">
        <f t="shared" si="40"/>
        <v>225.33552156542495</v>
      </c>
      <c r="P138">
        <f t="shared" si="37"/>
        <v>1.25E-3</v>
      </c>
    </row>
    <row r="139" spans="1:16" hidden="1" x14ac:dyDescent="0.25">
      <c r="A139" s="10" t="s">
        <v>92</v>
      </c>
      <c r="B139" s="10" t="s">
        <v>91</v>
      </c>
      <c r="C139" s="10" t="s">
        <v>23</v>
      </c>
      <c r="D139" s="10">
        <v>268.60000000000002</v>
      </c>
      <c r="E139" s="11" t="s">
        <v>84</v>
      </c>
      <c r="F139" s="15">
        <v>57.028799543769601</v>
      </c>
      <c r="G139" s="10" t="s">
        <v>67</v>
      </c>
      <c r="H139" s="10"/>
      <c r="I139" s="11">
        <v>0.13500000000000001</v>
      </c>
      <c r="J139" s="13" t="s">
        <v>70</v>
      </c>
      <c r="K139" s="10">
        <f t="shared" si="41"/>
        <v>36.434061633435569</v>
      </c>
      <c r="L139" s="10"/>
      <c r="M139" s="10"/>
      <c r="N139" s="10">
        <f>F139*'conversion factor'!$E$7</f>
        <v>36.434061633435569</v>
      </c>
      <c r="O139" s="10">
        <f t="shared" si="40"/>
        <v>36.434061633435569</v>
      </c>
      <c r="P139">
        <f t="shared" si="37"/>
        <v>1.3500000000000001E-3</v>
      </c>
    </row>
    <row r="140" spans="1:16" hidden="1" x14ac:dyDescent="0.25">
      <c r="A140" s="10" t="s">
        <v>92</v>
      </c>
      <c r="B140" s="10" t="s">
        <v>91</v>
      </c>
      <c r="C140" s="10" t="s">
        <v>23</v>
      </c>
      <c r="D140" s="10">
        <v>268.60000000000002</v>
      </c>
      <c r="E140" s="11" t="s">
        <v>86</v>
      </c>
      <c r="F140" s="15">
        <v>1981.2393405343946</v>
      </c>
      <c r="G140" s="10" t="s">
        <v>67</v>
      </c>
      <c r="H140" s="10"/>
      <c r="I140" s="11">
        <v>0.14499999999999999</v>
      </c>
      <c r="J140" s="13" t="s">
        <v>70</v>
      </c>
      <c r="K140" s="10">
        <f>1*N140</f>
        <v>1265.7568951318308</v>
      </c>
      <c r="L140" s="10"/>
      <c r="M140" s="10"/>
      <c r="N140" s="10">
        <f>F140*'conversion factor'!$E$7</f>
        <v>1265.7568951318308</v>
      </c>
      <c r="O140" s="10">
        <f t="shared" si="40"/>
        <v>1265.7568951318308</v>
      </c>
      <c r="P140">
        <f t="shared" si="37"/>
        <v>1.4499999999999999E-3</v>
      </c>
    </row>
    <row r="141" spans="1:16" hidden="1" x14ac:dyDescent="0.25">
      <c r="A141" s="10" t="s">
        <v>92</v>
      </c>
      <c r="B141" s="10" t="s">
        <v>91</v>
      </c>
      <c r="C141" s="10" t="s">
        <v>23</v>
      </c>
      <c r="D141" s="10">
        <v>268.60000000000002</v>
      </c>
      <c r="E141" s="11" t="s">
        <v>87</v>
      </c>
      <c r="F141" s="15">
        <v>582.17270194986077</v>
      </c>
      <c r="G141" s="10" t="s">
        <v>67</v>
      </c>
      <c r="H141" s="10"/>
      <c r="I141" s="11">
        <v>0.155</v>
      </c>
      <c r="J141" s="13" t="s">
        <v>70</v>
      </c>
      <c r="K141" s="10">
        <f>0.95*N141</f>
        <v>353.33674319187253</v>
      </c>
      <c r="L141" s="10">
        <f>0.05*N141</f>
        <v>18.596670694309079</v>
      </c>
      <c r="M141" s="10"/>
      <c r="N141" s="10">
        <f>F141*'conversion factor'!$E$7</f>
        <v>371.9334138861816</v>
      </c>
      <c r="O141" s="10">
        <f t="shared" si="40"/>
        <v>371.9334138861816</v>
      </c>
      <c r="P141">
        <f t="shared" si="37"/>
        <v>1.5499999999999999E-3</v>
      </c>
    </row>
    <row r="142" spans="1:16" hidden="1" x14ac:dyDescent="0.25">
      <c r="A142" s="10" t="s">
        <v>92</v>
      </c>
      <c r="B142" s="10" t="s">
        <v>91</v>
      </c>
      <c r="C142" s="10" t="s">
        <v>23</v>
      </c>
      <c r="D142" s="10">
        <v>268.60000000000002</v>
      </c>
      <c r="E142" s="11" t="s">
        <v>88</v>
      </c>
      <c r="F142" s="15">
        <v>169.92353440951572</v>
      </c>
      <c r="G142" s="10" t="s">
        <v>67</v>
      </c>
      <c r="H142" s="10"/>
      <c r="I142" s="11">
        <v>0.16500000000000001</v>
      </c>
      <c r="J142" s="13" t="s">
        <v>70</v>
      </c>
      <c r="K142" s="10">
        <f>1*N142</f>
        <v>108.55926435722903</v>
      </c>
      <c r="L142" s="10"/>
      <c r="M142" s="10"/>
      <c r="N142" s="10">
        <f>F142*'conversion factor'!$E$7</f>
        <v>108.55926435722903</v>
      </c>
      <c r="O142" s="10">
        <f t="shared" si="40"/>
        <v>108.55926435722903</v>
      </c>
      <c r="P142">
        <f t="shared" si="37"/>
        <v>1.65E-3</v>
      </c>
    </row>
    <row r="143" spans="1:16" hidden="1" x14ac:dyDescent="0.25">
      <c r="A143" s="10" t="s">
        <v>92</v>
      </c>
      <c r="B143" s="10" t="s">
        <v>91</v>
      </c>
      <c r="C143" s="10" t="s">
        <v>23</v>
      </c>
      <c r="D143" s="10">
        <v>268.60000000000002</v>
      </c>
      <c r="E143" s="11" t="s">
        <v>89</v>
      </c>
      <c r="F143" s="15">
        <v>843.9755691282619</v>
      </c>
      <c r="G143" s="10" t="s">
        <v>67</v>
      </c>
      <c r="H143" s="10"/>
      <c r="I143" s="11">
        <v>0.17499999999999999</v>
      </c>
      <c r="J143" s="13" t="s">
        <v>70</v>
      </c>
      <c r="K143" s="10">
        <f>1*N143</f>
        <v>539.19174432442242</v>
      </c>
      <c r="L143" s="10"/>
      <c r="M143" s="10"/>
      <c r="N143" s="10">
        <f>F143*'conversion factor'!$E$7</f>
        <v>539.19174432442242</v>
      </c>
      <c r="O143" s="10">
        <f t="shared" si="40"/>
        <v>539.19174432442242</v>
      </c>
      <c r="P143">
        <f t="shared" si="37"/>
        <v>1.7499999999999998E-3</v>
      </c>
    </row>
    <row r="144" spans="1:16" hidden="1" x14ac:dyDescent="0.25">
      <c r="A144" s="10" t="s">
        <v>92</v>
      </c>
      <c r="B144" s="10" t="s">
        <v>91</v>
      </c>
      <c r="C144" s="10" t="s">
        <v>23</v>
      </c>
      <c r="D144" s="10">
        <v>268.60000000000002</v>
      </c>
      <c r="E144" s="11" t="s">
        <v>90</v>
      </c>
      <c r="F144" s="15">
        <v>250.1405283867341</v>
      </c>
      <c r="G144" s="10" t="s">
        <v>67</v>
      </c>
      <c r="H144" s="10"/>
      <c r="I144" s="11">
        <v>0.185</v>
      </c>
      <c r="J144" s="13" t="s">
        <v>70</v>
      </c>
      <c r="K144" s="10">
        <f>1*N144</f>
        <v>159.80759723458138</v>
      </c>
      <c r="L144" s="10"/>
      <c r="M144" s="10"/>
      <c r="N144" s="10">
        <f>F144*'conversion factor'!$E$7</f>
        <v>159.80759723458138</v>
      </c>
      <c r="O144" s="10">
        <f t="shared" si="40"/>
        <v>159.80759723458138</v>
      </c>
      <c r="P144">
        <f t="shared" si="37"/>
        <v>1.8500000000000001E-3</v>
      </c>
    </row>
    <row r="145" spans="1:16" hidden="1" x14ac:dyDescent="0.25">
      <c r="A145" s="10" t="s">
        <v>101</v>
      </c>
      <c r="B145" s="10" t="s">
        <v>102</v>
      </c>
      <c r="C145" s="10" t="s">
        <v>23</v>
      </c>
      <c r="D145" s="10">
        <v>3</v>
      </c>
      <c r="E145" s="11">
        <v>1.0297478293107101</v>
      </c>
      <c r="F145" s="10">
        <v>676.23030271193898</v>
      </c>
      <c r="G145" s="10" t="s">
        <v>67</v>
      </c>
      <c r="H145" s="10"/>
      <c r="I145" s="11">
        <v>1.02974782931071E-2</v>
      </c>
      <c r="J145" s="13" t="s">
        <v>70</v>
      </c>
      <c r="K145" s="10">
        <f>0.25*N145</f>
        <v>108.00602820200544</v>
      </c>
      <c r="L145" s="10">
        <f>0.6*N145</f>
        <v>259.21446768481303</v>
      </c>
      <c r="M145" s="10">
        <f>0.15*N145</f>
        <v>64.803616921203258</v>
      </c>
      <c r="N145" s="10">
        <f>F145*'conversion factor'!$E$7</f>
        <v>432.02411280802175</v>
      </c>
      <c r="O145" s="10">
        <f t="shared" si="40"/>
        <v>432.02411280802175</v>
      </c>
      <c r="P145">
        <f t="shared" si="37"/>
        <v>1.02974782931071E-4</v>
      </c>
    </row>
    <row r="146" spans="1:16" hidden="1" x14ac:dyDescent="0.25">
      <c r="A146" s="10" t="s">
        <v>101</v>
      </c>
      <c r="B146" s="10" t="s">
        <v>102</v>
      </c>
      <c r="C146" s="10" t="s">
        <v>23</v>
      </c>
      <c r="D146" s="10">
        <v>3</v>
      </c>
      <c r="E146" s="11">
        <v>3.03203612387308</v>
      </c>
      <c r="F146" s="10">
        <v>2622.9521011482798</v>
      </c>
      <c r="G146" s="10" t="s">
        <v>67</v>
      </c>
      <c r="H146" s="10"/>
      <c r="I146" s="11">
        <v>3.03203612387308E-2</v>
      </c>
      <c r="J146" s="13" t="s">
        <v>70</v>
      </c>
      <c r="K146" s="10">
        <f t="shared" ref="K146:K209" si="42">0.25*N146</f>
        <v>418.93218548919208</v>
      </c>
      <c r="L146" s="10">
        <f t="shared" ref="L146:L209" si="43">0.6*N146</f>
        <v>1005.437245174061</v>
      </c>
      <c r="M146" s="10">
        <f t="shared" ref="M146:M209" si="44">0.15*N146</f>
        <v>251.35931129351525</v>
      </c>
      <c r="N146" s="10">
        <f>F146*'conversion factor'!$E$7</f>
        <v>1675.7287419567683</v>
      </c>
      <c r="O146" s="10">
        <f t="shared" si="40"/>
        <v>1675.7287419567683</v>
      </c>
      <c r="P146">
        <f t="shared" si="37"/>
        <v>3.0320361238730801E-4</v>
      </c>
    </row>
    <row r="147" spans="1:16" hidden="1" x14ac:dyDescent="0.25">
      <c r="A147" s="10" t="s">
        <v>101</v>
      </c>
      <c r="B147" s="10" t="s">
        <v>102</v>
      </c>
      <c r="C147" s="10" t="s">
        <v>23</v>
      </c>
      <c r="D147" s="10">
        <v>3</v>
      </c>
      <c r="E147" s="11">
        <v>6.9221958025586003</v>
      </c>
      <c r="F147" s="10">
        <v>1495.9026388956599</v>
      </c>
      <c r="G147" s="10" t="s">
        <v>67</v>
      </c>
      <c r="H147" s="10"/>
      <c r="I147" s="11">
        <v>6.9221958025586006E-2</v>
      </c>
      <c r="J147" s="13" t="s">
        <v>70</v>
      </c>
      <c r="K147" s="10">
        <f t="shared" si="42"/>
        <v>238.92230495450485</v>
      </c>
      <c r="L147" s="10">
        <f t="shared" si="43"/>
        <v>573.41353189081167</v>
      </c>
      <c r="M147" s="10">
        <f t="shared" si="44"/>
        <v>143.35338297270292</v>
      </c>
      <c r="N147" s="10">
        <f>F147*'conversion factor'!$E$7</f>
        <v>955.68921981801941</v>
      </c>
      <c r="O147" s="10">
        <f t="shared" si="40"/>
        <v>955.68921981801941</v>
      </c>
      <c r="P147">
        <f t="shared" si="37"/>
        <v>6.9221958025586007E-4</v>
      </c>
    </row>
    <row r="148" spans="1:16" hidden="1" x14ac:dyDescent="0.25">
      <c r="A148" s="10" t="s">
        <v>101</v>
      </c>
      <c r="B148" s="10" t="s">
        <v>102</v>
      </c>
      <c r="C148" s="10" t="s">
        <v>23</v>
      </c>
      <c r="D148" s="10">
        <v>3</v>
      </c>
      <c r="E148" s="11">
        <v>9.0389010075601703</v>
      </c>
      <c r="F148" s="10">
        <v>758.19628560958301</v>
      </c>
      <c r="G148" s="10" t="s">
        <v>67</v>
      </c>
      <c r="H148" s="10"/>
      <c r="I148" s="11">
        <v>9.0389010075601697E-2</v>
      </c>
      <c r="J148" s="13" t="s">
        <v>70</v>
      </c>
      <c r="K148" s="10">
        <f t="shared" si="42"/>
        <v>121.09745611487016</v>
      </c>
      <c r="L148" s="10">
        <f t="shared" si="43"/>
        <v>290.63389467568834</v>
      </c>
      <c r="M148" s="10">
        <f t="shared" si="44"/>
        <v>72.658473668922085</v>
      </c>
      <c r="N148" s="10">
        <f>F148*'conversion factor'!$E$7</f>
        <v>484.38982445948062</v>
      </c>
      <c r="O148" s="10">
        <f t="shared" si="40"/>
        <v>484.38982445948056</v>
      </c>
      <c r="P148">
        <f t="shared" si="37"/>
        <v>9.0389010075601699E-4</v>
      </c>
    </row>
    <row r="149" spans="1:16" hidden="1" x14ac:dyDescent="0.25">
      <c r="A149" s="10" t="s">
        <v>101</v>
      </c>
      <c r="B149" s="10" t="s">
        <v>102</v>
      </c>
      <c r="C149" s="10" t="s">
        <v>23</v>
      </c>
      <c r="D149" s="10">
        <v>3</v>
      </c>
      <c r="E149" s="11">
        <v>10.983981938063399</v>
      </c>
      <c r="F149" s="10">
        <v>102.45904202296501</v>
      </c>
      <c r="G149" s="10" t="s">
        <v>67</v>
      </c>
      <c r="H149" s="10"/>
      <c r="I149" s="11">
        <v>0.10983981938063399</v>
      </c>
      <c r="J149" s="13" t="s">
        <v>70</v>
      </c>
      <c r="K149" s="10">
        <f t="shared" si="42"/>
        <v>16.364534594062409</v>
      </c>
      <c r="L149" s="10">
        <f t="shared" si="43"/>
        <v>39.27488302574978</v>
      </c>
      <c r="M149" s="10">
        <f t="shared" si="44"/>
        <v>9.818720756437445</v>
      </c>
      <c r="N149" s="10">
        <f>F149*'conversion factor'!$E$7</f>
        <v>65.458138376249636</v>
      </c>
      <c r="O149" s="10">
        <f t="shared" si="40"/>
        <v>65.458138376249636</v>
      </c>
      <c r="P149">
        <f t="shared" si="37"/>
        <v>1.0983981938063399E-3</v>
      </c>
    </row>
    <row r="150" spans="1:16" hidden="1" x14ac:dyDescent="0.25">
      <c r="A150" s="10" t="s">
        <v>101</v>
      </c>
      <c r="B150" s="10" t="s">
        <v>102</v>
      </c>
      <c r="C150" s="10" t="s">
        <v>23</v>
      </c>
      <c r="D150" s="10">
        <v>3</v>
      </c>
      <c r="E150" s="11">
        <v>12.929060686245601</v>
      </c>
      <c r="F150" s="10">
        <v>2459.01700855117</v>
      </c>
      <c r="G150" s="10" t="s">
        <v>67</v>
      </c>
      <c r="H150" s="10"/>
      <c r="I150" s="11">
        <v>0.129290606862456</v>
      </c>
      <c r="J150" s="13" t="s">
        <v>70</v>
      </c>
      <c r="K150" s="10">
        <f t="shared" si="42"/>
        <v>392.74883025749932</v>
      </c>
      <c r="L150" s="10">
        <f t="shared" si="43"/>
        <v>942.5971926179983</v>
      </c>
      <c r="M150" s="10">
        <f t="shared" si="44"/>
        <v>235.64929815449958</v>
      </c>
      <c r="N150" s="10">
        <f>F150*'conversion factor'!$E$7</f>
        <v>1570.9953210299973</v>
      </c>
      <c r="O150" s="10">
        <f t="shared" si="40"/>
        <v>1570.9953210299971</v>
      </c>
      <c r="P150">
        <f t="shared" ref="P150:P213" si="45">I150/100</f>
        <v>1.2929060686245599E-3</v>
      </c>
    </row>
    <row r="151" spans="1:16" hidden="1" x14ac:dyDescent="0.25">
      <c r="A151" s="10" t="s">
        <v>101</v>
      </c>
      <c r="B151" s="10" t="s">
        <v>102</v>
      </c>
      <c r="C151" s="10" t="s">
        <v>23</v>
      </c>
      <c r="D151" s="10">
        <v>3</v>
      </c>
      <c r="E151" s="11">
        <v>14.816934252689901</v>
      </c>
      <c r="F151" s="10">
        <v>1413.9335291962</v>
      </c>
      <c r="G151" s="10" t="s">
        <v>67</v>
      </c>
      <c r="H151" s="10"/>
      <c r="I151" s="11">
        <v>0.14816934252689901</v>
      </c>
      <c r="J151" s="13" t="s">
        <v>70</v>
      </c>
      <c r="K151" s="10">
        <f t="shared" si="42"/>
        <v>225.83037763567773</v>
      </c>
      <c r="L151" s="10">
        <f t="shared" si="43"/>
        <v>541.99290632562656</v>
      </c>
      <c r="M151" s="10">
        <f t="shared" si="44"/>
        <v>135.49822658140664</v>
      </c>
      <c r="N151" s="10">
        <f>F151*'conversion factor'!$E$7</f>
        <v>903.32151054271094</v>
      </c>
      <c r="O151" s="10">
        <f t="shared" si="40"/>
        <v>903.32151054271094</v>
      </c>
      <c r="P151">
        <f t="shared" si="45"/>
        <v>1.48169342526899E-3</v>
      </c>
    </row>
    <row r="152" spans="1:16" hidden="1" x14ac:dyDescent="0.25">
      <c r="A152" s="10" t="s">
        <v>101</v>
      </c>
      <c r="B152" s="10" t="s">
        <v>102</v>
      </c>
      <c r="C152" s="10" t="s">
        <v>23</v>
      </c>
      <c r="D152" s="10">
        <v>3</v>
      </c>
      <c r="E152" s="11">
        <v>16.990846821750502</v>
      </c>
      <c r="F152" s="10">
        <v>3094.2611930124699</v>
      </c>
      <c r="G152" s="10" t="s">
        <v>67</v>
      </c>
      <c r="H152" s="10"/>
      <c r="I152" s="11">
        <v>0.16990846821750502</v>
      </c>
      <c r="J152" s="13" t="s">
        <v>70</v>
      </c>
      <c r="K152" s="10">
        <f t="shared" si="42"/>
        <v>494.20864509710987</v>
      </c>
      <c r="L152" s="10">
        <f t="shared" si="43"/>
        <v>1186.1007482330635</v>
      </c>
      <c r="M152" s="10">
        <f t="shared" si="44"/>
        <v>296.52518705826589</v>
      </c>
      <c r="N152" s="10">
        <f>F152*'conversion factor'!$E$7</f>
        <v>1976.8345803884395</v>
      </c>
      <c r="O152" s="10">
        <f t="shared" si="40"/>
        <v>1976.8345803884392</v>
      </c>
      <c r="P152">
        <f t="shared" si="45"/>
        <v>1.6990846821750502E-3</v>
      </c>
    </row>
    <row r="153" spans="1:16" hidden="1" x14ac:dyDescent="0.25">
      <c r="A153" s="10" t="s">
        <v>101</v>
      </c>
      <c r="B153" s="10" t="s">
        <v>102</v>
      </c>
      <c r="C153" s="10" t="s">
        <v>23</v>
      </c>
      <c r="D153" s="10">
        <v>3</v>
      </c>
      <c r="E153" s="11">
        <v>18.993135116312899</v>
      </c>
      <c r="F153" s="10">
        <v>266.39413462007201</v>
      </c>
      <c r="G153" s="10" t="s">
        <v>67</v>
      </c>
      <c r="H153" s="10"/>
      <c r="I153" s="11">
        <v>0.18993135116312898</v>
      </c>
      <c r="J153" s="13" t="s">
        <v>70</v>
      </c>
      <c r="K153" s="10">
        <f t="shared" si="42"/>
        <v>42.547889825754702</v>
      </c>
      <c r="L153" s="10">
        <f t="shared" si="43"/>
        <v>102.11493558181128</v>
      </c>
      <c r="M153" s="10">
        <f t="shared" si="44"/>
        <v>25.52873389545282</v>
      </c>
      <c r="N153" s="10">
        <f>F153*'conversion factor'!$E$7</f>
        <v>170.19155930301881</v>
      </c>
      <c r="O153" s="10">
        <f t="shared" si="40"/>
        <v>170.19155930301881</v>
      </c>
      <c r="P153">
        <f t="shared" si="45"/>
        <v>1.8993135116312898E-3</v>
      </c>
    </row>
    <row r="154" spans="1:16" hidden="1" x14ac:dyDescent="0.25">
      <c r="A154" s="10" t="s">
        <v>101</v>
      </c>
      <c r="B154" s="10" t="s">
        <v>102</v>
      </c>
      <c r="C154" s="10" t="s">
        <v>23</v>
      </c>
      <c r="D154" s="10">
        <v>3</v>
      </c>
      <c r="E154" s="11">
        <v>20.8810108650781</v>
      </c>
      <c r="F154" s="10">
        <v>1680.3276638162699</v>
      </c>
      <c r="G154" s="10" t="s">
        <v>67</v>
      </c>
      <c r="H154" s="10"/>
      <c r="I154" s="11">
        <v>0.20881010865078101</v>
      </c>
      <c r="J154" s="13" t="s">
        <v>70</v>
      </c>
      <c r="K154" s="10">
        <f t="shared" si="42"/>
        <v>268.37826746143213</v>
      </c>
      <c r="L154" s="10">
        <f t="shared" si="43"/>
        <v>644.10784190743709</v>
      </c>
      <c r="M154" s="10">
        <f t="shared" si="44"/>
        <v>161.02696047685927</v>
      </c>
      <c r="N154" s="10">
        <f>F154*'conversion factor'!$E$7</f>
        <v>1073.5130698457285</v>
      </c>
      <c r="O154" s="10">
        <f t="shared" si="40"/>
        <v>1073.5130698457285</v>
      </c>
      <c r="P154">
        <f t="shared" si="45"/>
        <v>2.0881010865078102E-3</v>
      </c>
    </row>
    <row r="155" spans="1:16" hidden="1" x14ac:dyDescent="0.25">
      <c r="A155" s="10" t="s">
        <v>101</v>
      </c>
      <c r="B155" s="10" t="s">
        <v>102</v>
      </c>
      <c r="C155" s="10" t="s">
        <v>23</v>
      </c>
      <c r="D155" s="10">
        <v>3</v>
      </c>
      <c r="E155" s="11">
        <v>22.940502159057498</v>
      </c>
      <c r="F155" s="10">
        <v>1434.4265883215201</v>
      </c>
      <c r="G155" s="10" t="s">
        <v>67</v>
      </c>
      <c r="H155" s="10"/>
      <c r="I155" s="11">
        <v>0.22940502159057499</v>
      </c>
      <c r="J155" s="13" t="s">
        <v>70</v>
      </c>
      <c r="K155" s="10">
        <f t="shared" si="42"/>
        <v>229.1034843168753</v>
      </c>
      <c r="L155" s="10">
        <f t="shared" si="43"/>
        <v>549.84836236050069</v>
      </c>
      <c r="M155" s="10">
        <f t="shared" si="44"/>
        <v>137.46209059012517</v>
      </c>
      <c r="N155" s="10">
        <f>F155*'conversion factor'!$E$7</f>
        <v>916.41393726750118</v>
      </c>
      <c r="O155" s="10">
        <f t="shared" si="40"/>
        <v>916.41393726750118</v>
      </c>
      <c r="P155">
        <f t="shared" si="45"/>
        <v>2.29405021590575E-3</v>
      </c>
    </row>
    <row r="156" spans="1:16" hidden="1" x14ac:dyDescent="0.25">
      <c r="A156" s="10" t="s">
        <v>101</v>
      </c>
      <c r="B156" s="10" t="s">
        <v>102</v>
      </c>
      <c r="C156" s="10" t="s">
        <v>23</v>
      </c>
      <c r="D156" s="10">
        <v>3</v>
      </c>
      <c r="E156" s="11">
        <v>25</v>
      </c>
      <c r="F156" s="10">
        <v>1106.5564031273</v>
      </c>
      <c r="G156" s="10" t="s">
        <v>67</v>
      </c>
      <c r="H156" s="10"/>
      <c r="I156" s="11">
        <v>0.25</v>
      </c>
      <c r="J156" s="13" t="s">
        <v>70</v>
      </c>
      <c r="K156" s="10">
        <f t="shared" si="42"/>
        <v>176.73677385348972</v>
      </c>
      <c r="L156" s="10">
        <f t="shared" si="43"/>
        <v>424.16825724837531</v>
      </c>
      <c r="M156" s="10">
        <f t="shared" si="44"/>
        <v>106.04206431209383</v>
      </c>
      <c r="N156" s="10">
        <f>F156*'conversion factor'!$E$7</f>
        <v>706.94709541395889</v>
      </c>
      <c r="O156" s="10">
        <f t="shared" si="40"/>
        <v>706.94709541395878</v>
      </c>
      <c r="P156">
        <f t="shared" si="45"/>
        <v>2.5000000000000001E-3</v>
      </c>
    </row>
    <row r="157" spans="1:16" hidden="1" x14ac:dyDescent="0.25">
      <c r="A157" s="10" t="s">
        <v>162</v>
      </c>
      <c r="B157" s="10" t="s">
        <v>103</v>
      </c>
      <c r="C157" s="10" t="s">
        <v>23</v>
      </c>
      <c r="D157" s="10">
        <v>175</v>
      </c>
      <c r="E157" s="11">
        <v>1</v>
      </c>
      <c r="F157" s="10">
        <v>2142.63850627487</v>
      </c>
      <c r="G157" s="10" t="s">
        <v>67</v>
      </c>
      <c r="H157" s="10"/>
      <c r="I157" s="11">
        <v>0.01</v>
      </c>
      <c r="J157" s="13" t="s">
        <v>70</v>
      </c>
      <c r="K157" s="10">
        <f t="shared" si="42"/>
        <v>342.21754631129858</v>
      </c>
      <c r="L157" s="10">
        <f t="shared" si="43"/>
        <v>821.32211114711652</v>
      </c>
      <c r="M157" s="10">
        <f t="shared" si="44"/>
        <v>205.33052778677913</v>
      </c>
      <c r="N157" s="10">
        <f>F157*'conversion factor'!$E$7</f>
        <v>1368.8701852451943</v>
      </c>
      <c r="O157" s="10">
        <f t="shared" si="40"/>
        <v>1368.8701852451943</v>
      </c>
      <c r="P157">
        <f t="shared" si="45"/>
        <v>1E-4</v>
      </c>
    </row>
    <row r="158" spans="1:16" hidden="1" x14ac:dyDescent="0.25">
      <c r="A158" s="10" t="s">
        <v>162</v>
      </c>
      <c r="B158" s="10" t="s">
        <v>103</v>
      </c>
      <c r="C158" s="10" t="s">
        <v>23</v>
      </c>
      <c r="D158" s="10">
        <v>175</v>
      </c>
      <c r="E158" s="11">
        <v>3</v>
      </c>
      <c r="F158" s="16">
        <v>0</v>
      </c>
      <c r="G158" s="10" t="s">
        <v>67</v>
      </c>
      <c r="H158" s="10"/>
      <c r="I158" s="11">
        <v>0.03</v>
      </c>
      <c r="J158" s="13" t="s">
        <v>70</v>
      </c>
      <c r="K158" s="10">
        <f t="shared" si="42"/>
        <v>0</v>
      </c>
      <c r="L158" s="10">
        <f t="shared" si="43"/>
        <v>0</v>
      </c>
      <c r="M158" s="10">
        <f t="shared" si="44"/>
        <v>0</v>
      </c>
      <c r="N158" s="10">
        <f>F158*'conversion factor'!$E$7</f>
        <v>0</v>
      </c>
      <c r="O158" s="10">
        <f t="shared" si="40"/>
        <v>0</v>
      </c>
      <c r="P158">
        <f t="shared" si="45"/>
        <v>2.9999999999999997E-4</v>
      </c>
    </row>
    <row r="159" spans="1:16" hidden="1" x14ac:dyDescent="0.25">
      <c r="A159" s="10" t="s">
        <v>162</v>
      </c>
      <c r="B159" s="10" t="s">
        <v>103</v>
      </c>
      <c r="C159" s="10" t="s">
        <v>23</v>
      </c>
      <c r="D159" s="10">
        <v>175</v>
      </c>
      <c r="E159" s="11">
        <v>5</v>
      </c>
      <c r="F159" s="16">
        <v>0</v>
      </c>
      <c r="G159" s="10" t="s">
        <v>67</v>
      </c>
      <c r="H159" s="10"/>
      <c r="I159" s="11">
        <v>0.05</v>
      </c>
      <c r="J159" s="13" t="s">
        <v>70</v>
      </c>
      <c r="K159" s="10">
        <f t="shared" si="42"/>
        <v>0</v>
      </c>
      <c r="L159" s="10">
        <f t="shared" si="43"/>
        <v>0</v>
      </c>
      <c r="M159" s="10">
        <f t="shared" si="44"/>
        <v>0</v>
      </c>
      <c r="N159" s="10">
        <f>F159*'conversion factor'!$E$7</f>
        <v>0</v>
      </c>
      <c r="O159" s="10">
        <f t="shared" si="40"/>
        <v>0</v>
      </c>
      <c r="P159">
        <f t="shared" si="45"/>
        <v>5.0000000000000001E-4</v>
      </c>
    </row>
    <row r="160" spans="1:16" hidden="1" x14ac:dyDescent="0.25">
      <c r="A160" s="10" t="s">
        <v>162</v>
      </c>
      <c r="B160" s="10" t="s">
        <v>103</v>
      </c>
      <c r="C160" s="10" t="s">
        <v>23</v>
      </c>
      <c r="D160" s="10">
        <v>175</v>
      </c>
      <c r="E160" s="11">
        <v>7</v>
      </c>
      <c r="F160" s="16">
        <v>0</v>
      </c>
      <c r="G160" s="10" t="s">
        <v>67</v>
      </c>
      <c r="H160" s="10"/>
      <c r="I160" s="11">
        <v>7.0000000000000007E-2</v>
      </c>
      <c r="J160" s="13" t="s">
        <v>70</v>
      </c>
      <c r="K160" s="10">
        <f t="shared" si="42"/>
        <v>0</v>
      </c>
      <c r="L160" s="10">
        <f t="shared" si="43"/>
        <v>0</v>
      </c>
      <c r="M160" s="10">
        <f t="shared" si="44"/>
        <v>0</v>
      </c>
      <c r="N160" s="10">
        <f>F160*'conversion factor'!$E$7</f>
        <v>0</v>
      </c>
      <c r="O160" s="10">
        <f t="shared" si="40"/>
        <v>0</v>
      </c>
      <c r="P160">
        <f t="shared" si="45"/>
        <v>7.000000000000001E-4</v>
      </c>
    </row>
    <row r="161" spans="1:16" hidden="1" x14ac:dyDescent="0.25">
      <c r="A161" s="10" t="s">
        <v>162</v>
      </c>
      <c r="B161" s="10" t="s">
        <v>103</v>
      </c>
      <c r="C161" s="10" t="s">
        <v>23</v>
      </c>
      <c r="D161" s="10">
        <v>175</v>
      </c>
      <c r="E161" s="11">
        <v>9</v>
      </c>
      <c r="F161" s="16">
        <v>916.03053439999996</v>
      </c>
      <c r="G161" s="10" t="s">
        <v>67</v>
      </c>
      <c r="H161" s="10"/>
      <c r="I161" s="11">
        <v>0.09</v>
      </c>
      <c r="J161" s="13" t="s">
        <v>70</v>
      </c>
      <c r="K161" s="10">
        <f t="shared" si="42"/>
        <v>146.30639788771737</v>
      </c>
      <c r="L161" s="10">
        <f t="shared" si="43"/>
        <v>351.13535493052166</v>
      </c>
      <c r="M161" s="10">
        <f t="shared" si="44"/>
        <v>87.783838732630414</v>
      </c>
      <c r="N161" s="10">
        <f>F161*'conversion factor'!$E$7</f>
        <v>585.22559155086947</v>
      </c>
      <c r="O161" s="10">
        <f t="shared" si="40"/>
        <v>585.22559155086947</v>
      </c>
      <c r="P161">
        <f t="shared" si="45"/>
        <v>8.9999999999999998E-4</v>
      </c>
    </row>
    <row r="162" spans="1:16" hidden="1" x14ac:dyDescent="0.25">
      <c r="A162" s="10" t="s">
        <v>162</v>
      </c>
      <c r="B162" s="10" t="s">
        <v>103</v>
      </c>
      <c r="C162" s="10" t="s">
        <v>23</v>
      </c>
      <c r="D162" s="10">
        <v>175</v>
      </c>
      <c r="E162" s="11">
        <v>11</v>
      </c>
      <c r="F162" s="16">
        <v>429.98423389999999</v>
      </c>
      <c r="G162" s="10" t="s">
        <v>67</v>
      </c>
      <c r="H162" s="10"/>
      <c r="I162" s="11">
        <v>0.11</v>
      </c>
      <c r="J162" s="13" t="s">
        <v>70</v>
      </c>
      <c r="K162" s="10">
        <f t="shared" si="42"/>
        <v>68.676143477711065</v>
      </c>
      <c r="L162" s="10">
        <f t="shared" si="43"/>
        <v>164.82274434650654</v>
      </c>
      <c r="M162" s="10">
        <f t="shared" si="44"/>
        <v>41.205686086626635</v>
      </c>
      <c r="N162" s="10">
        <f>F162*'conversion factor'!$E$7</f>
        <v>274.70457391084426</v>
      </c>
      <c r="O162" s="10">
        <f t="shared" si="40"/>
        <v>274.70457391084426</v>
      </c>
      <c r="P162">
        <f t="shared" si="45"/>
        <v>1.1000000000000001E-3</v>
      </c>
    </row>
    <row r="163" spans="1:16" hidden="1" x14ac:dyDescent="0.25">
      <c r="A163" s="10" t="s">
        <v>162</v>
      </c>
      <c r="B163" s="10" t="s">
        <v>103</v>
      </c>
      <c r="C163" s="10" t="s">
        <v>23</v>
      </c>
      <c r="D163" s="10">
        <v>175</v>
      </c>
      <c r="E163" s="11">
        <v>13</v>
      </c>
      <c r="F163" s="16">
        <v>150.30813169999999</v>
      </c>
      <c r="G163" s="10" t="s">
        <v>67</v>
      </c>
      <c r="H163" s="10"/>
      <c r="I163" s="11">
        <v>0.13</v>
      </c>
      <c r="J163" s="13" t="s">
        <v>70</v>
      </c>
      <c r="K163" s="10">
        <f t="shared" si="42"/>
        <v>24.006886775519725</v>
      </c>
      <c r="L163" s="10">
        <f t="shared" si="43"/>
        <v>57.616528261247339</v>
      </c>
      <c r="M163" s="10">
        <f t="shared" si="44"/>
        <v>14.404132065311835</v>
      </c>
      <c r="N163" s="10">
        <f>F163*'conversion factor'!$E$7</f>
        <v>96.027547102078898</v>
      </c>
      <c r="O163" s="10">
        <f t="shared" si="40"/>
        <v>96.027547102078898</v>
      </c>
      <c r="P163">
        <f t="shared" si="45"/>
        <v>1.2999999999999999E-3</v>
      </c>
    </row>
    <row r="164" spans="1:16" hidden="1" x14ac:dyDescent="0.25">
      <c r="A164" s="10" t="s">
        <v>162</v>
      </c>
      <c r="B164" s="10" t="s">
        <v>103</v>
      </c>
      <c r="C164" s="10" t="s">
        <v>23</v>
      </c>
      <c r="D164" s="10">
        <v>175</v>
      </c>
      <c r="E164" s="11">
        <v>15</v>
      </c>
      <c r="F164" s="16">
        <v>159.3879503</v>
      </c>
      <c r="G164" s="10" t="s">
        <v>67</v>
      </c>
      <c r="H164" s="10"/>
      <c r="I164" s="11">
        <v>0.15</v>
      </c>
      <c r="J164" s="13" t="s">
        <v>70</v>
      </c>
      <c r="K164" s="10">
        <f t="shared" si="42"/>
        <v>25.457095587292603</v>
      </c>
      <c r="L164" s="10">
        <f t="shared" si="43"/>
        <v>61.097029409502241</v>
      </c>
      <c r="M164" s="10">
        <f t="shared" si="44"/>
        <v>15.27425735237556</v>
      </c>
      <c r="N164" s="10">
        <f>F164*'conversion factor'!$E$7</f>
        <v>101.82838234917041</v>
      </c>
      <c r="O164" s="10">
        <f t="shared" si="40"/>
        <v>101.8283823491704</v>
      </c>
      <c r="P164">
        <f t="shared" si="45"/>
        <v>1.5E-3</v>
      </c>
    </row>
    <row r="165" spans="1:16" hidden="1" x14ac:dyDescent="0.25">
      <c r="A165" s="10" t="s">
        <v>162</v>
      </c>
      <c r="B165" s="10" t="s">
        <v>103</v>
      </c>
      <c r="C165" s="10" t="s">
        <v>23</v>
      </c>
      <c r="D165" s="10">
        <v>175</v>
      </c>
      <c r="E165" s="11">
        <v>17</v>
      </c>
      <c r="F165" s="16">
        <v>119.474313</v>
      </c>
      <c r="G165" s="10" t="s">
        <v>67</v>
      </c>
      <c r="H165" s="10"/>
      <c r="I165" s="11">
        <v>0.17</v>
      </c>
      <c r="J165" s="13" t="s">
        <v>70</v>
      </c>
      <c r="K165" s="10">
        <f t="shared" si="42"/>
        <v>19.082176541843108</v>
      </c>
      <c r="L165" s="10">
        <f t="shared" si="43"/>
        <v>45.797223700423459</v>
      </c>
      <c r="M165" s="10">
        <f t="shared" si="44"/>
        <v>11.449305925105865</v>
      </c>
      <c r="N165" s="10">
        <f>F165*'conversion factor'!$E$7</f>
        <v>76.328706167372431</v>
      </c>
      <c r="O165" s="10">
        <f t="shared" si="40"/>
        <v>76.328706167372431</v>
      </c>
      <c r="P165">
        <f t="shared" si="45"/>
        <v>1.7000000000000001E-3</v>
      </c>
    </row>
    <row r="166" spans="1:16" hidden="1" x14ac:dyDescent="0.25">
      <c r="A166" s="10" t="s">
        <v>162</v>
      </c>
      <c r="B166" s="10" t="s">
        <v>103</v>
      </c>
      <c r="C166" s="10" t="s">
        <v>23</v>
      </c>
      <c r="D166" s="10">
        <v>175</v>
      </c>
      <c r="E166" s="11">
        <v>19</v>
      </c>
      <c r="F166" s="16">
        <v>671.59167230000003</v>
      </c>
      <c r="G166" s="10" t="s">
        <v>67</v>
      </c>
      <c r="H166" s="10"/>
      <c r="I166" s="11">
        <v>0.19</v>
      </c>
      <c r="J166" s="13" t="s">
        <v>70</v>
      </c>
      <c r="K166" s="10">
        <f t="shared" si="42"/>
        <v>107.26515627556063</v>
      </c>
      <c r="L166" s="10">
        <f t="shared" si="43"/>
        <v>257.43637506134547</v>
      </c>
      <c r="M166" s="10">
        <f t="shared" si="44"/>
        <v>64.359093765336368</v>
      </c>
      <c r="N166" s="10">
        <f>F166*'conversion factor'!$E$7</f>
        <v>429.06062510224251</v>
      </c>
      <c r="O166" s="10">
        <f t="shared" si="40"/>
        <v>429.06062510224245</v>
      </c>
      <c r="P166">
        <f t="shared" si="45"/>
        <v>1.9E-3</v>
      </c>
    </row>
    <row r="167" spans="1:16" hidden="1" x14ac:dyDescent="0.25">
      <c r="A167" s="10" t="s">
        <v>162</v>
      </c>
      <c r="B167" s="10" t="s">
        <v>103</v>
      </c>
      <c r="C167" s="10" t="s">
        <v>23</v>
      </c>
      <c r="D167" s="10">
        <v>175</v>
      </c>
      <c r="E167" s="11">
        <v>21</v>
      </c>
      <c r="F167" s="16">
        <v>453.0524408</v>
      </c>
      <c r="G167" s="10" t="s">
        <v>67</v>
      </c>
      <c r="H167" s="10"/>
      <c r="I167" s="11">
        <v>0.21</v>
      </c>
      <c r="J167" s="13" t="s">
        <v>70</v>
      </c>
      <c r="K167" s="10">
        <f t="shared" si="42"/>
        <v>72.360547141698348</v>
      </c>
      <c r="L167" s="10">
        <f t="shared" si="43"/>
        <v>173.66531314007602</v>
      </c>
      <c r="M167" s="10">
        <f t="shared" si="44"/>
        <v>43.416328285019006</v>
      </c>
      <c r="N167" s="10">
        <f>F167*'conversion factor'!$E$7</f>
        <v>289.44218856679339</v>
      </c>
      <c r="O167" s="10">
        <f t="shared" si="40"/>
        <v>289.44218856679339</v>
      </c>
      <c r="P167">
        <f t="shared" si="45"/>
        <v>2.0999999999999999E-3</v>
      </c>
    </row>
    <row r="168" spans="1:16" hidden="1" x14ac:dyDescent="0.25">
      <c r="A168" s="10" t="s">
        <v>162</v>
      </c>
      <c r="B168" s="10" t="s">
        <v>103</v>
      </c>
      <c r="C168" s="10" t="s">
        <v>23</v>
      </c>
      <c r="D168" s="10">
        <v>175</v>
      </c>
      <c r="E168" s="11">
        <v>23</v>
      </c>
      <c r="F168" s="16">
        <v>0</v>
      </c>
      <c r="G168" s="10" t="s">
        <v>67</v>
      </c>
      <c r="H168" s="10"/>
      <c r="I168" s="11">
        <v>0.23</v>
      </c>
      <c r="J168" s="13" t="s">
        <v>70</v>
      </c>
      <c r="K168" s="10">
        <f t="shared" si="42"/>
        <v>0</v>
      </c>
      <c r="L168" s="10">
        <f t="shared" si="43"/>
        <v>0</v>
      </c>
      <c r="M168" s="10">
        <f t="shared" si="44"/>
        <v>0</v>
      </c>
      <c r="N168" s="10">
        <f>F168*'conversion factor'!$E$7</f>
        <v>0</v>
      </c>
      <c r="O168" s="10">
        <f t="shared" si="40"/>
        <v>0</v>
      </c>
      <c r="P168">
        <f t="shared" si="45"/>
        <v>2.3E-3</v>
      </c>
    </row>
    <row r="169" spans="1:16" hidden="1" x14ac:dyDescent="0.25">
      <c r="A169" s="10" t="s">
        <v>162</v>
      </c>
      <c r="B169" s="10" t="s">
        <v>103</v>
      </c>
      <c r="C169" s="10" t="s">
        <v>23</v>
      </c>
      <c r="D169" s="10">
        <v>175</v>
      </c>
      <c r="E169" s="11">
        <v>25</v>
      </c>
      <c r="F169" s="16">
        <v>334.00133599999998</v>
      </c>
      <c r="G169" s="10" t="s">
        <v>67</v>
      </c>
      <c r="H169" s="10"/>
      <c r="I169" s="11">
        <v>0.25</v>
      </c>
      <c r="J169" s="13" t="s">
        <v>70</v>
      </c>
      <c r="K169" s="10">
        <f t="shared" si="42"/>
        <v>53.345964489985874</v>
      </c>
      <c r="L169" s="10">
        <f t="shared" si="43"/>
        <v>128.0303147759661</v>
      </c>
      <c r="M169" s="10">
        <f t="shared" si="44"/>
        <v>32.007578693991526</v>
      </c>
      <c r="N169" s="10">
        <f>F169*'conversion factor'!$E$7</f>
        <v>213.3838579599435</v>
      </c>
      <c r="O169" s="10">
        <f t="shared" si="40"/>
        <v>213.3838579599435</v>
      </c>
      <c r="P169">
        <f t="shared" si="45"/>
        <v>2.5000000000000001E-3</v>
      </c>
    </row>
    <row r="170" spans="1:16" hidden="1" x14ac:dyDescent="0.25">
      <c r="A170" s="10" t="s">
        <v>162</v>
      </c>
      <c r="B170" s="10" t="s">
        <v>103</v>
      </c>
      <c r="C170" s="10" t="s">
        <v>23</v>
      </c>
      <c r="D170" s="10">
        <v>175</v>
      </c>
      <c r="E170" s="11">
        <v>27</v>
      </c>
      <c r="F170" s="16">
        <v>542.25033889999997</v>
      </c>
      <c r="G170" s="10" t="s">
        <v>67</v>
      </c>
      <c r="H170" s="10"/>
      <c r="I170" s="11">
        <v>0.27</v>
      </c>
      <c r="J170" s="13" t="s">
        <v>70</v>
      </c>
      <c r="K170" s="10">
        <f t="shared" si="42"/>
        <v>86.607040768370467</v>
      </c>
      <c r="L170" s="10">
        <f t="shared" si="43"/>
        <v>207.8568978440891</v>
      </c>
      <c r="M170" s="10">
        <f t="shared" si="44"/>
        <v>51.964224461022276</v>
      </c>
      <c r="N170" s="10">
        <f>F170*'conversion factor'!$E$7</f>
        <v>346.42816307348187</v>
      </c>
      <c r="O170" s="10">
        <f t="shared" si="40"/>
        <v>346.42816307348187</v>
      </c>
      <c r="P170">
        <f t="shared" si="45"/>
        <v>2.7000000000000001E-3</v>
      </c>
    </row>
    <row r="171" spans="1:16" hidden="1" x14ac:dyDescent="0.25">
      <c r="A171" s="10" t="s">
        <v>162</v>
      </c>
      <c r="B171" s="10" t="s">
        <v>103</v>
      </c>
      <c r="C171" s="10" t="s">
        <v>23</v>
      </c>
      <c r="D171" s="10">
        <v>175</v>
      </c>
      <c r="E171" s="11">
        <v>29</v>
      </c>
      <c r="F171" s="16">
        <v>0</v>
      </c>
      <c r="G171" s="10" t="s">
        <v>67</v>
      </c>
      <c r="H171" s="10"/>
      <c r="I171" s="11">
        <v>0.28999999999999998</v>
      </c>
      <c r="J171" s="13" t="s">
        <v>70</v>
      </c>
      <c r="K171" s="10">
        <f t="shared" si="42"/>
        <v>0</v>
      </c>
      <c r="L171" s="10">
        <f t="shared" si="43"/>
        <v>0</v>
      </c>
      <c r="M171" s="10">
        <f t="shared" si="44"/>
        <v>0</v>
      </c>
      <c r="N171" s="10">
        <f>F171*'conversion factor'!$E$7</f>
        <v>0</v>
      </c>
      <c r="O171" s="10">
        <f t="shared" si="40"/>
        <v>0</v>
      </c>
      <c r="P171">
        <f t="shared" si="45"/>
        <v>2.8999999999999998E-3</v>
      </c>
    </row>
    <row r="172" spans="1:16" hidden="1" x14ac:dyDescent="0.25">
      <c r="A172" s="10" t="s">
        <v>162</v>
      </c>
      <c r="B172" s="10" t="s">
        <v>103</v>
      </c>
      <c r="C172" s="10" t="s">
        <v>23</v>
      </c>
      <c r="D172" s="10">
        <v>175</v>
      </c>
      <c r="E172" s="11">
        <v>31</v>
      </c>
      <c r="F172" s="16">
        <v>1002.004008</v>
      </c>
      <c r="G172" s="10" t="s">
        <v>67</v>
      </c>
      <c r="H172" s="10"/>
      <c r="I172" s="11">
        <v>0.31</v>
      </c>
      <c r="J172" s="13" t="s">
        <v>70</v>
      </c>
      <c r="K172" s="10">
        <f t="shared" si="42"/>
        <v>160.03789346995762</v>
      </c>
      <c r="L172" s="10">
        <f t="shared" si="43"/>
        <v>384.09094432789828</v>
      </c>
      <c r="M172" s="10">
        <f t="shared" si="44"/>
        <v>96.022736081974571</v>
      </c>
      <c r="N172" s="10">
        <f>F172*'conversion factor'!$E$7</f>
        <v>640.15157387983049</v>
      </c>
      <c r="O172" s="10">
        <f t="shared" si="40"/>
        <v>640.15157387983049</v>
      </c>
      <c r="P172">
        <f t="shared" si="45"/>
        <v>3.0999999999999999E-3</v>
      </c>
    </row>
    <row r="173" spans="1:16" hidden="1" x14ac:dyDescent="0.25">
      <c r="A173" s="10" t="s">
        <v>162</v>
      </c>
      <c r="B173" s="10" t="s">
        <v>103</v>
      </c>
      <c r="C173" s="10" t="s">
        <v>23</v>
      </c>
      <c r="D173" s="10">
        <v>175</v>
      </c>
      <c r="E173" s="11">
        <v>33</v>
      </c>
      <c r="F173" s="16">
        <v>0</v>
      </c>
      <c r="G173" s="10" t="s">
        <v>67</v>
      </c>
      <c r="H173" s="10"/>
      <c r="I173" s="11">
        <v>0.33</v>
      </c>
      <c r="J173" s="13" t="s">
        <v>70</v>
      </c>
      <c r="K173" s="10">
        <f t="shared" si="42"/>
        <v>0</v>
      </c>
      <c r="L173" s="10">
        <f t="shared" si="43"/>
        <v>0</v>
      </c>
      <c r="M173" s="10">
        <f t="shared" si="44"/>
        <v>0</v>
      </c>
      <c r="N173" s="10">
        <f>F173*'conversion factor'!$E$7</f>
        <v>0</v>
      </c>
      <c r="O173" s="10">
        <f t="shared" si="40"/>
        <v>0</v>
      </c>
      <c r="P173">
        <f t="shared" si="45"/>
        <v>3.3E-3</v>
      </c>
    </row>
    <row r="174" spans="1:16" hidden="1" x14ac:dyDescent="0.25">
      <c r="A174" s="10" t="s">
        <v>162</v>
      </c>
      <c r="B174" s="10" t="s">
        <v>103</v>
      </c>
      <c r="C174" s="10" t="s">
        <v>23</v>
      </c>
      <c r="D174" s="10">
        <v>175</v>
      </c>
      <c r="E174" s="11">
        <v>35</v>
      </c>
      <c r="F174" s="16">
        <v>0</v>
      </c>
      <c r="G174" s="10" t="s">
        <v>67</v>
      </c>
      <c r="H174" s="10"/>
      <c r="I174" s="11">
        <v>0.35</v>
      </c>
      <c r="J174" s="13" t="s">
        <v>70</v>
      </c>
      <c r="K174" s="10">
        <f t="shared" si="42"/>
        <v>0</v>
      </c>
      <c r="L174" s="10">
        <f t="shared" si="43"/>
        <v>0</v>
      </c>
      <c r="M174" s="10">
        <f t="shared" si="44"/>
        <v>0</v>
      </c>
      <c r="N174" s="10">
        <f>F174*'conversion factor'!$E$7</f>
        <v>0</v>
      </c>
      <c r="O174" s="10">
        <f t="shared" si="40"/>
        <v>0</v>
      </c>
      <c r="P174">
        <f t="shared" si="45"/>
        <v>3.4999999999999996E-3</v>
      </c>
    </row>
    <row r="175" spans="1:16" hidden="1" x14ac:dyDescent="0.25">
      <c r="A175" s="10" t="s">
        <v>162</v>
      </c>
      <c r="B175" s="10" t="s">
        <v>103</v>
      </c>
      <c r="C175" s="10" t="s">
        <v>23</v>
      </c>
      <c r="D175" s="10">
        <v>175</v>
      </c>
      <c r="E175" s="11">
        <v>37</v>
      </c>
      <c r="F175" s="16">
        <v>0</v>
      </c>
      <c r="G175" s="10" t="s">
        <v>67</v>
      </c>
      <c r="H175" s="10"/>
      <c r="I175" s="11">
        <v>0.37</v>
      </c>
      <c r="J175" s="13" t="s">
        <v>70</v>
      </c>
      <c r="K175" s="10">
        <f t="shared" si="42"/>
        <v>0</v>
      </c>
      <c r="L175" s="10">
        <f t="shared" si="43"/>
        <v>0</v>
      </c>
      <c r="M175" s="10">
        <f t="shared" si="44"/>
        <v>0</v>
      </c>
      <c r="N175" s="10">
        <f>F175*'conversion factor'!$E$7</f>
        <v>0</v>
      </c>
      <c r="O175" s="10">
        <f t="shared" si="40"/>
        <v>0</v>
      </c>
      <c r="P175">
        <f t="shared" si="45"/>
        <v>3.7000000000000002E-3</v>
      </c>
    </row>
    <row r="176" spans="1:16" hidden="1" x14ac:dyDescent="0.25">
      <c r="A176" s="10" t="s">
        <v>162</v>
      </c>
      <c r="B176" s="10" t="s">
        <v>103</v>
      </c>
      <c r="C176" s="10" t="s">
        <v>23</v>
      </c>
      <c r="D176" s="10">
        <v>175</v>
      </c>
      <c r="E176" s="11">
        <v>39</v>
      </c>
      <c r="F176" s="16">
        <v>99.472794190000002</v>
      </c>
      <c r="G176" s="10" t="s">
        <v>67</v>
      </c>
      <c r="H176" s="10"/>
      <c r="I176" s="11">
        <v>0.39</v>
      </c>
      <c r="J176" s="13" t="s">
        <v>70</v>
      </c>
      <c r="K176" s="10">
        <f t="shared" si="42"/>
        <v>15.887577607112965</v>
      </c>
      <c r="L176" s="10">
        <f t="shared" si="43"/>
        <v>38.130186257071117</v>
      </c>
      <c r="M176" s="10">
        <f t="shared" si="44"/>
        <v>9.5325465642677791</v>
      </c>
      <c r="N176" s="10">
        <f>F176*'conversion factor'!$E$7</f>
        <v>63.550310428451859</v>
      </c>
      <c r="O176" s="10">
        <f t="shared" si="40"/>
        <v>63.550310428451866</v>
      </c>
      <c r="P176">
        <f t="shared" si="45"/>
        <v>3.9000000000000003E-3</v>
      </c>
    </row>
    <row r="177" spans="1:16" hidden="1" x14ac:dyDescent="0.25">
      <c r="A177" s="10" t="s">
        <v>162</v>
      </c>
      <c r="B177" s="10" t="s">
        <v>103</v>
      </c>
      <c r="C177" s="10" t="s">
        <v>23</v>
      </c>
      <c r="D177" s="10">
        <v>175</v>
      </c>
      <c r="E177" s="11">
        <v>41</v>
      </c>
      <c r="F177" s="16">
        <v>293.57798170000001</v>
      </c>
      <c r="G177" s="10" t="s">
        <v>67</v>
      </c>
      <c r="H177" s="10"/>
      <c r="I177" s="11">
        <v>0.41</v>
      </c>
      <c r="J177" s="13" t="s">
        <v>70</v>
      </c>
      <c r="K177" s="10">
        <f t="shared" si="42"/>
        <v>46.889634557659143</v>
      </c>
      <c r="L177" s="10">
        <f t="shared" si="43"/>
        <v>112.53512293838195</v>
      </c>
      <c r="M177" s="10">
        <f t="shared" si="44"/>
        <v>28.133780734595486</v>
      </c>
      <c r="N177" s="10">
        <f>F177*'conversion factor'!$E$7</f>
        <v>187.55853823063657</v>
      </c>
      <c r="O177" s="10">
        <f t="shared" si="40"/>
        <v>187.55853823063657</v>
      </c>
      <c r="P177">
        <f t="shared" si="45"/>
        <v>4.0999999999999995E-3</v>
      </c>
    </row>
    <row r="178" spans="1:16" hidden="1" x14ac:dyDescent="0.25">
      <c r="A178" s="10" t="s">
        <v>162</v>
      </c>
      <c r="B178" s="10" t="s">
        <v>103</v>
      </c>
      <c r="C178" s="10" t="s">
        <v>23</v>
      </c>
      <c r="D178" s="10">
        <v>175</v>
      </c>
      <c r="E178" s="11">
        <v>43</v>
      </c>
      <c r="F178" s="16">
        <v>0</v>
      </c>
      <c r="G178" s="10" t="s">
        <v>67</v>
      </c>
      <c r="H178" s="10"/>
      <c r="I178" s="11">
        <v>0.43</v>
      </c>
      <c r="J178" s="13" t="s">
        <v>70</v>
      </c>
      <c r="K178" s="10">
        <f t="shared" si="42"/>
        <v>0</v>
      </c>
      <c r="L178" s="10">
        <f t="shared" si="43"/>
        <v>0</v>
      </c>
      <c r="M178" s="10">
        <f t="shared" si="44"/>
        <v>0</v>
      </c>
      <c r="N178" s="10">
        <f>F178*'conversion factor'!$E$7</f>
        <v>0</v>
      </c>
      <c r="O178" s="10">
        <f t="shared" si="40"/>
        <v>0</v>
      </c>
      <c r="P178">
        <f t="shared" si="45"/>
        <v>4.3E-3</v>
      </c>
    </row>
    <row r="179" spans="1:16" hidden="1" x14ac:dyDescent="0.25">
      <c r="A179" s="10" t="s">
        <v>162</v>
      </c>
      <c r="B179" s="10" t="s">
        <v>103</v>
      </c>
      <c r="C179" s="10" t="s">
        <v>23</v>
      </c>
      <c r="D179" s="10">
        <v>175</v>
      </c>
      <c r="E179" s="11">
        <v>45</v>
      </c>
      <c r="F179" s="16">
        <v>0</v>
      </c>
      <c r="G179" s="10" t="s">
        <v>67</v>
      </c>
      <c r="H179" s="10"/>
      <c r="I179" s="11">
        <v>0.45</v>
      </c>
      <c r="J179" s="13" t="s">
        <v>70</v>
      </c>
      <c r="K179" s="10">
        <f t="shared" si="42"/>
        <v>0</v>
      </c>
      <c r="L179" s="10">
        <f t="shared" si="43"/>
        <v>0</v>
      </c>
      <c r="M179" s="10">
        <f t="shared" si="44"/>
        <v>0</v>
      </c>
      <c r="N179" s="10">
        <f>F179*'conversion factor'!$E$7</f>
        <v>0</v>
      </c>
      <c r="O179" s="10">
        <f t="shared" si="40"/>
        <v>0</v>
      </c>
      <c r="P179">
        <f t="shared" si="45"/>
        <v>4.5000000000000005E-3</v>
      </c>
    </row>
    <row r="180" spans="1:16" hidden="1" x14ac:dyDescent="0.25">
      <c r="A180" s="10" t="s">
        <v>162</v>
      </c>
      <c r="B180" s="10" t="s">
        <v>103</v>
      </c>
      <c r="C180" s="10" t="s">
        <v>23</v>
      </c>
      <c r="D180" s="10">
        <v>175</v>
      </c>
      <c r="E180" s="11">
        <v>47</v>
      </c>
      <c r="F180" s="16">
        <v>0</v>
      </c>
      <c r="G180" s="10" t="s">
        <v>67</v>
      </c>
      <c r="H180" s="10"/>
      <c r="I180" s="11">
        <v>0.47</v>
      </c>
      <c r="J180" s="13" t="s">
        <v>70</v>
      </c>
      <c r="K180" s="10">
        <f t="shared" si="42"/>
        <v>0</v>
      </c>
      <c r="L180" s="10">
        <f t="shared" si="43"/>
        <v>0</v>
      </c>
      <c r="M180" s="10">
        <f t="shared" si="44"/>
        <v>0</v>
      </c>
      <c r="N180" s="10">
        <f>F180*'conversion factor'!$E$7</f>
        <v>0</v>
      </c>
      <c r="O180" s="10">
        <f t="shared" si="40"/>
        <v>0</v>
      </c>
      <c r="P180">
        <f t="shared" si="45"/>
        <v>4.6999999999999993E-3</v>
      </c>
    </row>
    <row r="181" spans="1:16" hidden="1" x14ac:dyDescent="0.25">
      <c r="A181" s="10" t="s">
        <v>162</v>
      </c>
      <c r="B181" s="10" t="s">
        <v>103</v>
      </c>
      <c r="C181" s="10" t="s">
        <v>23</v>
      </c>
      <c r="D181" s="10">
        <v>175</v>
      </c>
      <c r="E181" s="11">
        <v>49</v>
      </c>
      <c r="F181" s="16">
        <v>48.283520830000001</v>
      </c>
      <c r="G181" s="10" t="s">
        <v>67</v>
      </c>
      <c r="H181" s="10"/>
      <c r="I181" s="11">
        <v>0.49</v>
      </c>
      <c r="J181" s="13" t="s">
        <v>70</v>
      </c>
      <c r="K181" s="10">
        <f t="shared" si="42"/>
        <v>7.7117385771435156</v>
      </c>
      <c r="L181" s="10">
        <f t="shared" si="43"/>
        <v>18.508172585144436</v>
      </c>
      <c r="M181" s="10">
        <f t="shared" si="44"/>
        <v>4.627043146286109</v>
      </c>
      <c r="N181" s="10">
        <f>F181*'conversion factor'!$E$7</f>
        <v>30.846954308574063</v>
      </c>
      <c r="O181" s="10">
        <f t="shared" si="40"/>
        <v>30.846954308574059</v>
      </c>
      <c r="P181">
        <f t="shared" si="45"/>
        <v>4.8999999999999998E-3</v>
      </c>
    </row>
    <row r="182" spans="1:16" hidden="1" x14ac:dyDescent="0.25">
      <c r="A182" s="10" t="s">
        <v>162</v>
      </c>
      <c r="B182" s="10" t="s">
        <v>103</v>
      </c>
      <c r="C182" s="10" t="s">
        <v>23</v>
      </c>
      <c r="D182" s="10">
        <v>175</v>
      </c>
      <c r="E182" s="11">
        <v>51</v>
      </c>
      <c r="F182" s="16">
        <v>0</v>
      </c>
      <c r="G182" s="10" t="s">
        <v>67</v>
      </c>
      <c r="H182" s="10"/>
      <c r="I182" s="11">
        <v>0.51</v>
      </c>
      <c r="J182" s="13" t="s">
        <v>70</v>
      </c>
      <c r="K182" s="10">
        <f t="shared" si="42"/>
        <v>0</v>
      </c>
      <c r="L182" s="10">
        <f t="shared" si="43"/>
        <v>0</v>
      </c>
      <c r="M182" s="10">
        <f t="shared" si="44"/>
        <v>0</v>
      </c>
      <c r="N182" s="10">
        <f>F182*'conversion factor'!$E$7</f>
        <v>0</v>
      </c>
      <c r="O182" s="10">
        <f t="shared" si="40"/>
        <v>0</v>
      </c>
      <c r="P182">
        <f t="shared" si="45"/>
        <v>5.1000000000000004E-3</v>
      </c>
    </row>
    <row r="183" spans="1:16" hidden="1" x14ac:dyDescent="0.25">
      <c r="A183" s="10" t="s">
        <v>162</v>
      </c>
      <c r="B183" s="10" t="s">
        <v>103</v>
      </c>
      <c r="C183" s="10" t="s">
        <v>23</v>
      </c>
      <c r="D183" s="10">
        <v>175</v>
      </c>
      <c r="E183" s="11">
        <v>53</v>
      </c>
      <c r="F183" s="16">
        <v>47.76575673</v>
      </c>
      <c r="G183" s="10" t="s">
        <v>67</v>
      </c>
      <c r="H183" s="10"/>
      <c r="I183" s="11">
        <v>0.53</v>
      </c>
      <c r="J183" s="13" t="s">
        <v>70</v>
      </c>
      <c r="K183" s="10">
        <f t="shared" si="42"/>
        <v>7.6290424250155811</v>
      </c>
      <c r="L183" s="10">
        <f t="shared" si="43"/>
        <v>18.309701820037393</v>
      </c>
      <c r="M183" s="10">
        <f t="shared" si="44"/>
        <v>4.5774254550093483</v>
      </c>
      <c r="N183" s="10">
        <f>F183*'conversion factor'!$E$7</f>
        <v>30.516169700062324</v>
      </c>
      <c r="O183" s="10">
        <f t="shared" si="40"/>
        <v>30.516169700062321</v>
      </c>
      <c r="P183">
        <f t="shared" si="45"/>
        <v>5.3E-3</v>
      </c>
    </row>
    <row r="184" spans="1:16" hidden="1" x14ac:dyDescent="0.25">
      <c r="A184" s="10" t="s">
        <v>162</v>
      </c>
      <c r="B184" s="10" t="s">
        <v>103</v>
      </c>
      <c r="C184" s="10" t="s">
        <v>23</v>
      </c>
      <c r="D184" s="10">
        <v>175</v>
      </c>
      <c r="E184" s="11">
        <v>55</v>
      </c>
      <c r="F184" s="16">
        <v>0</v>
      </c>
      <c r="G184" s="10" t="s">
        <v>67</v>
      </c>
      <c r="H184" s="10"/>
      <c r="I184" s="11">
        <v>0.55000000000000004</v>
      </c>
      <c r="J184" s="13" t="s">
        <v>70</v>
      </c>
      <c r="K184" s="10">
        <f t="shared" si="42"/>
        <v>0</v>
      </c>
      <c r="L184" s="10">
        <f t="shared" si="43"/>
        <v>0</v>
      </c>
      <c r="M184" s="10">
        <f t="shared" si="44"/>
        <v>0</v>
      </c>
      <c r="N184" s="10">
        <f>F184*'conversion factor'!$E$7</f>
        <v>0</v>
      </c>
      <c r="O184" s="10">
        <f t="shared" si="40"/>
        <v>0</v>
      </c>
      <c r="P184">
        <f t="shared" si="45"/>
        <v>5.5000000000000005E-3</v>
      </c>
    </row>
    <row r="185" spans="1:16" hidden="1" x14ac:dyDescent="0.25">
      <c r="A185" s="10" t="s">
        <v>162</v>
      </c>
      <c r="B185" s="10" t="s">
        <v>103</v>
      </c>
      <c r="C185" s="10" t="s">
        <v>23</v>
      </c>
      <c r="D185" s="10">
        <v>175</v>
      </c>
      <c r="E185" s="11">
        <v>57</v>
      </c>
      <c r="F185" s="16">
        <v>0</v>
      </c>
      <c r="G185" s="10" t="s">
        <v>67</v>
      </c>
      <c r="H185" s="10"/>
      <c r="I185" s="11">
        <v>0.56999999999999995</v>
      </c>
      <c r="J185" s="13" t="s">
        <v>70</v>
      </c>
      <c r="K185" s="10">
        <f t="shared" si="42"/>
        <v>0</v>
      </c>
      <c r="L185" s="10">
        <f t="shared" si="43"/>
        <v>0</v>
      </c>
      <c r="M185" s="10">
        <f t="shared" si="44"/>
        <v>0</v>
      </c>
      <c r="N185" s="10">
        <f>F185*'conversion factor'!$E$7</f>
        <v>0</v>
      </c>
      <c r="O185" s="10">
        <f t="shared" si="40"/>
        <v>0</v>
      </c>
      <c r="P185">
        <f t="shared" si="45"/>
        <v>5.6999999999999993E-3</v>
      </c>
    </row>
    <row r="186" spans="1:16" hidden="1" x14ac:dyDescent="0.25">
      <c r="A186" s="10" t="s">
        <v>162</v>
      </c>
      <c r="B186" s="10" t="s">
        <v>103</v>
      </c>
      <c r="C186" s="10" t="s">
        <v>23</v>
      </c>
      <c r="D186" s="10">
        <v>175</v>
      </c>
      <c r="E186" s="11">
        <v>59</v>
      </c>
      <c r="F186" s="16">
        <v>0</v>
      </c>
      <c r="G186" s="10" t="s">
        <v>67</v>
      </c>
      <c r="H186" s="10"/>
      <c r="I186" s="11">
        <v>0.59</v>
      </c>
      <c r="J186" s="13" t="s">
        <v>70</v>
      </c>
      <c r="K186" s="10">
        <f t="shared" si="42"/>
        <v>0</v>
      </c>
      <c r="L186" s="10">
        <f t="shared" si="43"/>
        <v>0</v>
      </c>
      <c r="M186" s="10">
        <f t="shared" si="44"/>
        <v>0</v>
      </c>
      <c r="N186" s="10">
        <f>F186*'conversion factor'!$E$7</f>
        <v>0</v>
      </c>
      <c r="O186" s="10">
        <f t="shared" si="40"/>
        <v>0</v>
      </c>
      <c r="P186">
        <f t="shared" si="45"/>
        <v>5.8999999999999999E-3</v>
      </c>
    </row>
    <row r="187" spans="1:16" hidden="1" x14ac:dyDescent="0.25">
      <c r="A187" s="10" t="s">
        <v>162</v>
      </c>
      <c r="B187" s="10" t="s">
        <v>103</v>
      </c>
      <c r="C187" s="10" t="s">
        <v>23</v>
      </c>
      <c r="D187" s="10">
        <v>175</v>
      </c>
      <c r="E187" s="11">
        <v>61</v>
      </c>
      <c r="F187" s="16">
        <v>27.889335119999998</v>
      </c>
      <c r="G187" s="10" t="s">
        <v>67</v>
      </c>
      <c r="H187" s="10"/>
      <c r="I187" s="11">
        <v>0.61</v>
      </c>
      <c r="J187" s="13" t="s">
        <v>70</v>
      </c>
      <c r="K187" s="10">
        <f t="shared" si="42"/>
        <v>4.4544237420680135</v>
      </c>
      <c r="L187" s="10">
        <f t="shared" si="43"/>
        <v>10.690616980963233</v>
      </c>
      <c r="M187" s="10">
        <f t="shared" si="44"/>
        <v>2.6726542452408082</v>
      </c>
      <c r="N187" s="10">
        <f>F187*'conversion factor'!$E$7</f>
        <v>17.817694968272054</v>
      </c>
      <c r="O187" s="10">
        <f t="shared" si="40"/>
        <v>17.817694968272054</v>
      </c>
      <c r="P187">
        <f t="shared" si="45"/>
        <v>6.0999999999999995E-3</v>
      </c>
    </row>
    <row r="188" spans="1:16" hidden="1" x14ac:dyDescent="0.25">
      <c r="A188" s="10" t="s">
        <v>162</v>
      </c>
      <c r="B188" s="10" t="s">
        <v>105</v>
      </c>
      <c r="C188" s="10" t="s">
        <v>23</v>
      </c>
      <c r="D188" s="10">
        <v>404</v>
      </c>
      <c r="E188" s="11">
        <v>1</v>
      </c>
      <c r="F188" s="10">
        <v>4449.8381877022503</v>
      </c>
      <c r="G188" s="10" t="s">
        <v>67</v>
      </c>
      <c r="H188" s="10"/>
      <c r="I188" s="11">
        <v>0.01</v>
      </c>
      <c r="J188" s="13" t="s">
        <v>70</v>
      </c>
      <c r="K188" s="10">
        <f t="shared" si="42"/>
        <v>710.71844439372944</v>
      </c>
      <c r="L188" s="10">
        <f t="shared" si="43"/>
        <v>1705.7242665449505</v>
      </c>
      <c r="M188" s="10">
        <f t="shared" si="44"/>
        <v>426.43106663623763</v>
      </c>
      <c r="N188" s="10">
        <f>F188*'conversion factor'!$E$7</f>
        <v>2842.8737775749178</v>
      </c>
      <c r="O188" s="10">
        <f t="shared" si="40"/>
        <v>2842.8737775749173</v>
      </c>
      <c r="P188">
        <f t="shared" si="45"/>
        <v>1E-4</v>
      </c>
    </row>
    <row r="189" spans="1:16" hidden="1" x14ac:dyDescent="0.25">
      <c r="A189" s="10" t="s">
        <v>162</v>
      </c>
      <c r="B189" s="10" t="s">
        <v>105</v>
      </c>
      <c r="C189" s="10" t="s">
        <v>23</v>
      </c>
      <c r="D189" s="10">
        <v>404</v>
      </c>
      <c r="E189" s="11">
        <v>3</v>
      </c>
      <c r="F189" s="10">
        <v>3587.2546950833498</v>
      </c>
      <c r="G189" s="10" t="s">
        <v>67</v>
      </c>
      <c r="H189" s="10"/>
      <c r="I189" s="11">
        <v>0.03</v>
      </c>
      <c r="J189" s="13" t="s">
        <v>70</v>
      </c>
      <c r="K189" s="10">
        <f t="shared" si="42"/>
        <v>572.94849138103893</v>
      </c>
      <c r="L189" s="10">
        <f t="shared" si="43"/>
        <v>1375.0763793144934</v>
      </c>
      <c r="M189" s="10">
        <f t="shared" si="44"/>
        <v>343.76909482862334</v>
      </c>
      <c r="N189" s="10">
        <f>F189*'conversion factor'!$E$7</f>
        <v>2291.7939655241557</v>
      </c>
      <c r="O189" s="10">
        <f t="shared" si="40"/>
        <v>2291.7939655241553</v>
      </c>
      <c r="P189">
        <f t="shared" si="45"/>
        <v>2.9999999999999997E-4</v>
      </c>
    </row>
    <row r="190" spans="1:16" hidden="1" x14ac:dyDescent="0.25">
      <c r="A190" s="10" t="s">
        <v>162</v>
      </c>
      <c r="B190" s="10" t="s">
        <v>105</v>
      </c>
      <c r="C190" s="10" t="s">
        <v>23</v>
      </c>
      <c r="D190" s="10">
        <v>404</v>
      </c>
      <c r="E190" s="11">
        <v>5</v>
      </c>
      <c r="F190" s="10">
        <v>785.17587939698399</v>
      </c>
      <c r="G190" s="10" t="s">
        <v>67</v>
      </c>
      <c r="H190" s="10"/>
      <c r="I190" s="11">
        <v>0.05</v>
      </c>
      <c r="J190" s="13" t="s">
        <v>70</v>
      </c>
      <c r="K190" s="10">
        <f t="shared" si="42"/>
        <v>125.40657795663709</v>
      </c>
      <c r="L190" s="10">
        <f t="shared" si="43"/>
        <v>300.97578709592904</v>
      </c>
      <c r="M190" s="10">
        <f t="shared" si="44"/>
        <v>75.243946773982259</v>
      </c>
      <c r="N190" s="10">
        <f>F190*'conversion factor'!$E$7</f>
        <v>501.62631182654837</v>
      </c>
      <c r="O190" s="10">
        <f t="shared" si="40"/>
        <v>501.62631182654837</v>
      </c>
      <c r="P190">
        <f t="shared" si="45"/>
        <v>5.0000000000000001E-4</v>
      </c>
    </row>
    <row r="191" spans="1:16" hidden="1" x14ac:dyDescent="0.25">
      <c r="A191" s="10" t="s">
        <v>162</v>
      </c>
      <c r="B191" s="10" t="s">
        <v>105</v>
      </c>
      <c r="C191" s="10" t="s">
        <v>23</v>
      </c>
      <c r="D191" s="10">
        <v>404</v>
      </c>
      <c r="E191" s="11">
        <v>7</v>
      </c>
      <c r="F191" s="10">
        <v>0</v>
      </c>
      <c r="G191" s="10" t="s">
        <v>67</v>
      </c>
      <c r="H191" s="10"/>
      <c r="I191" s="11">
        <v>7.0000000000000007E-2</v>
      </c>
      <c r="J191" s="13" t="s">
        <v>70</v>
      </c>
      <c r="K191" s="10">
        <f t="shared" si="42"/>
        <v>0</v>
      </c>
      <c r="L191" s="10">
        <f t="shared" si="43"/>
        <v>0</v>
      </c>
      <c r="M191" s="10">
        <f t="shared" si="44"/>
        <v>0</v>
      </c>
      <c r="N191" s="10">
        <f>F191*'conversion factor'!$E$7</f>
        <v>0</v>
      </c>
      <c r="O191" s="10">
        <f t="shared" si="40"/>
        <v>0</v>
      </c>
      <c r="P191">
        <f t="shared" si="45"/>
        <v>7.000000000000001E-4</v>
      </c>
    </row>
    <row r="192" spans="1:16" hidden="1" x14ac:dyDescent="0.25">
      <c r="A192" s="10" t="s">
        <v>162</v>
      </c>
      <c r="B192" s="10" t="s">
        <v>105</v>
      </c>
      <c r="C192" s="10" t="s">
        <v>23</v>
      </c>
      <c r="D192" s="10">
        <v>404</v>
      </c>
      <c r="E192" s="11">
        <v>9</v>
      </c>
      <c r="F192" s="10">
        <v>628.00921080175794</v>
      </c>
      <c r="G192" s="10" t="s">
        <v>67</v>
      </c>
      <c r="H192" s="10"/>
      <c r="I192" s="11">
        <v>0.09</v>
      </c>
      <c r="J192" s="13" t="s">
        <v>70</v>
      </c>
      <c r="K192" s="10">
        <f t="shared" si="42"/>
        <v>100.30426063569588</v>
      </c>
      <c r="L192" s="10">
        <f t="shared" si="43"/>
        <v>240.73022552567011</v>
      </c>
      <c r="M192" s="10">
        <f t="shared" si="44"/>
        <v>60.182556381417527</v>
      </c>
      <c r="N192" s="10">
        <f>F192*'conversion factor'!$E$7</f>
        <v>401.21704254278353</v>
      </c>
      <c r="O192" s="10">
        <f t="shared" si="40"/>
        <v>401.21704254278347</v>
      </c>
      <c r="P192">
        <f t="shared" si="45"/>
        <v>8.9999999999999998E-4</v>
      </c>
    </row>
    <row r="193" spans="1:16" hidden="1" x14ac:dyDescent="0.25">
      <c r="A193" s="10" t="s">
        <v>162</v>
      </c>
      <c r="B193" s="10" t="s">
        <v>105</v>
      </c>
      <c r="C193" s="10" t="s">
        <v>23</v>
      </c>
      <c r="D193" s="10">
        <v>404</v>
      </c>
      <c r="E193" s="11">
        <v>11</v>
      </c>
      <c r="F193" s="10">
        <v>3633.0608537693001</v>
      </c>
      <c r="G193" s="10" t="s">
        <v>67</v>
      </c>
      <c r="H193" s="10"/>
      <c r="I193" s="11">
        <v>0.11</v>
      </c>
      <c r="J193" s="13" t="s">
        <v>70</v>
      </c>
      <c r="K193" s="10">
        <f t="shared" si="42"/>
        <v>580.26455108291793</v>
      </c>
      <c r="L193" s="10">
        <f t="shared" si="43"/>
        <v>1392.6349225990029</v>
      </c>
      <c r="M193" s="10">
        <f t="shared" si="44"/>
        <v>348.15873064975074</v>
      </c>
      <c r="N193" s="10">
        <f>F193*'conversion factor'!$E$7</f>
        <v>2321.0582043316717</v>
      </c>
      <c r="O193" s="10">
        <f t="shared" si="40"/>
        <v>2321.0582043316717</v>
      </c>
      <c r="P193">
        <f t="shared" si="45"/>
        <v>1.1000000000000001E-3</v>
      </c>
    </row>
    <row r="194" spans="1:16" hidden="1" x14ac:dyDescent="0.25">
      <c r="A194" s="10" t="s">
        <v>162</v>
      </c>
      <c r="B194" s="10" t="s">
        <v>105</v>
      </c>
      <c r="C194" s="10" t="s">
        <v>23</v>
      </c>
      <c r="D194" s="10">
        <v>404</v>
      </c>
      <c r="E194" s="11">
        <v>13</v>
      </c>
      <c r="F194" s="10">
        <v>756.04838709677404</v>
      </c>
      <c r="G194" s="10" t="s">
        <v>67</v>
      </c>
      <c r="H194" s="10"/>
      <c r="I194" s="11">
        <v>0.13</v>
      </c>
      <c r="J194" s="13" t="s">
        <v>70</v>
      </c>
      <c r="K194" s="10">
        <f t="shared" si="42"/>
        <v>120.75439845179423</v>
      </c>
      <c r="L194" s="10">
        <f t="shared" si="43"/>
        <v>289.81055628430613</v>
      </c>
      <c r="M194" s="10">
        <f t="shared" si="44"/>
        <v>72.452639071076533</v>
      </c>
      <c r="N194" s="10">
        <f>F194*'conversion factor'!$E$7</f>
        <v>483.01759380717692</v>
      </c>
      <c r="O194" s="10">
        <f t="shared" si="40"/>
        <v>483.01759380717692</v>
      </c>
      <c r="P194">
        <f t="shared" si="45"/>
        <v>1.2999999999999999E-3</v>
      </c>
    </row>
    <row r="195" spans="1:16" hidden="1" x14ac:dyDescent="0.25">
      <c r="A195" s="10" t="s">
        <v>162</v>
      </c>
      <c r="B195" s="10" t="s">
        <v>105</v>
      </c>
      <c r="C195" s="10" t="s">
        <v>23</v>
      </c>
      <c r="D195" s="10">
        <v>404</v>
      </c>
      <c r="E195" s="11">
        <v>15</v>
      </c>
      <c r="F195" s="10">
        <v>0</v>
      </c>
      <c r="G195" s="10" t="s">
        <v>67</v>
      </c>
      <c r="H195" s="10"/>
      <c r="I195" s="11">
        <v>0.15</v>
      </c>
      <c r="J195" s="13" t="s">
        <v>70</v>
      </c>
      <c r="K195" s="10">
        <f t="shared" si="42"/>
        <v>0</v>
      </c>
      <c r="L195" s="10">
        <f t="shared" si="43"/>
        <v>0</v>
      </c>
      <c r="M195" s="10">
        <f t="shared" si="44"/>
        <v>0</v>
      </c>
      <c r="N195" s="10">
        <f>F195*'conversion factor'!$E$7</f>
        <v>0</v>
      </c>
      <c r="O195" s="10">
        <f t="shared" ref="O195:O258" si="46">SUM(K195:M195)</f>
        <v>0</v>
      </c>
      <c r="P195">
        <f t="shared" si="45"/>
        <v>1.5E-3</v>
      </c>
    </row>
    <row r="196" spans="1:16" hidden="1" x14ac:dyDescent="0.25">
      <c r="A196" s="10" t="s">
        <v>162</v>
      </c>
      <c r="B196" s="10" t="s">
        <v>105</v>
      </c>
      <c r="C196" s="10" t="s">
        <v>23</v>
      </c>
      <c r="D196" s="10">
        <v>404</v>
      </c>
      <c r="E196" s="11">
        <v>17</v>
      </c>
      <c r="F196" s="10">
        <v>1078.5547366528899</v>
      </c>
      <c r="G196" s="10" t="s">
        <v>67</v>
      </c>
      <c r="H196" s="10"/>
      <c r="I196" s="11">
        <v>0.17</v>
      </c>
      <c r="J196" s="13" t="s">
        <v>70</v>
      </c>
      <c r="K196" s="10">
        <f t="shared" si="42"/>
        <v>172.26440879263768</v>
      </c>
      <c r="L196" s="10">
        <f t="shared" si="43"/>
        <v>413.43458110233041</v>
      </c>
      <c r="M196" s="10">
        <f t="shared" si="44"/>
        <v>103.3586452755826</v>
      </c>
      <c r="N196" s="10">
        <f>F196*'conversion factor'!$E$7</f>
        <v>689.05763517055072</v>
      </c>
      <c r="O196" s="10">
        <f t="shared" si="46"/>
        <v>689.05763517055072</v>
      </c>
      <c r="P196">
        <f t="shared" si="45"/>
        <v>1.7000000000000001E-3</v>
      </c>
    </row>
    <row r="197" spans="1:16" hidden="1" x14ac:dyDescent="0.25">
      <c r="A197" s="10" t="s">
        <v>162</v>
      </c>
      <c r="B197" s="10" t="s">
        <v>105</v>
      </c>
      <c r="C197" s="10" t="s">
        <v>23</v>
      </c>
      <c r="D197" s="10">
        <v>404</v>
      </c>
      <c r="E197" s="11">
        <v>19</v>
      </c>
      <c r="F197" s="10">
        <v>577.49223994802605</v>
      </c>
      <c r="G197" s="10" t="s">
        <v>67</v>
      </c>
      <c r="H197" s="10"/>
      <c r="I197" s="11">
        <v>0.19</v>
      </c>
      <c r="J197" s="13" t="s">
        <v>70</v>
      </c>
      <c r="K197" s="10">
        <f t="shared" si="42"/>
        <v>92.235800294852112</v>
      </c>
      <c r="L197" s="10">
        <f t="shared" si="43"/>
        <v>221.36592070764507</v>
      </c>
      <c r="M197" s="10">
        <f t="shared" si="44"/>
        <v>55.341480176911269</v>
      </c>
      <c r="N197" s="10">
        <f>F197*'conversion factor'!$E$7</f>
        <v>368.94320117940845</v>
      </c>
      <c r="O197" s="10">
        <f t="shared" si="46"/>
        <v>368.94320117940845</v>
      </c>
      <c r="P197">
        <f t="shared" si="45"/>
        <v>1.9E-3</v>
      </c>
    </row>
    <row r="198" spans="1:16" hidden="1" x14ac:dyDescent="0.25">
      <c r="A198" s="10" t="s">
        <v>162</v>
      </c>
      <c r="B198" s="10" t="s">
        <v>105</v>
      </c>
      <c r="C198" s="10" t="s">
        <v>23</v>
      </c>
      <c r="D198" s="10">
        <v>404</v>
      </c>
      <c r="E198" s="11">
        <v>21</v>
      </c>
      <c r="F198" s="10">
        <v>0</v>
      </c>
      <c r="G198" s="10" t="s">
        <v>67</v>
      </c>
      <c r="H198" s="10"/>
      <c r="I198" s="11">
        <v>0.21</v>
      </c>
      <c r="J198" s="13" t="s">
        <v>70</v>
      </c>
      <c r="K198" s="10">
        <f t="shared" si="42"/>
        <v>0</v>
      </c>
      <c r="L198" s="10">
        <f t="shared" si="43"/>
        <v>0</v>
      </c>
      <c r="M198" s="10">
        <f t="shared" si="44"/>
        <v>0</v>
      </c>
      <c r="N198" s="10">
        <f>F198*'conversion factor'!$E$7</f>
        <v>0</v>
      </c>
      <c r="O198" s="10">
        <f t="shared" si="46"/>
        <v>0</v>
      </c>
      <c r="P198">
        <f t="shared" si="45"/>
        <v>2.0999999999999999E-3</v>
      </c>
    </row>
    <row r="199" spans="1:16" hidden="1" x14ac:dyDescent="0.25">
      <c r="A199" s="10" t="s">
        <v>162</v>
      </c>
      <c r="B199" s="10" t="s">
        <v>105</v>
      </c>
      <c r="C199" s="10" t="s">
        <v>23</v>
      </c>
      <c r="D199" s="10">
        <v>404</v>
      </c>
      <c r="E199" s="11">
        <v>23</v>
      </c>
      <c r="F199" s="10">
        <v>215.49402004094401</v>
      </c>
      <c r="G199" s="10" t="s">
        <v>67</v>
      </c>
      <c r="H199" s="10"/>
      <c r="I199" s="11">
        <v>0.23</v>
      </c>
      <c r="J199" s="13" t="s">
        <v>70</v>
      </c>
      <c r="K199" s="10">
        <f t="shared" si="42"/>
        <v>34.418234605230751</v>
      </c>
      <c r="L199" s="10">
        <f t="shared" si="43"/>
        <v>82.603763052553802</v>
      </c>
      <c r="M199" s="10">
        <f t="shared" si="44"/>
        <v>20.650940763138451</v>
      </c>
      <c r="N199" s="10">
        <f>F199*'conversion factor'!$E$7</f>
        <v>137.672938420923</v>
      </c>
      <c r="O199" s="10">
        <f t="shared" si="46"/>
        <v>137.672938420923</v>
      </c>
      <c r="P199">
        <f t="shared" si="45"/>
        <v>2.3E-3</v>
      </c>
    </row>
    <row r="200" spans="1:16" hidden="1" x14ac:dyDescent="0.25">
      <c r="A200" s="10" t="s">
        <v>162</v>
      </c>
      <c r="B200" s="10" t="s">
        <v>105</v>
      </c>
      <c r="C200" s="10" t="s">
        <v>23</v>
      </c>
      <c r="D200" s="10">
        <v>404</v>
      </c>
      <c r="E200" s="11">
        <v>25</v>
      </c>
      <c r="F200" s="10">
        <v>163.03904785196099</v>
      </c>
      <c r="G200" s="10" t="s">
        <v>67</v>
      </c>
      <c r="H200" s="10"/>
      <c r="I200" s="11">
        <v>0.25</v>
      </c>
      <c r="J200" s="13" t="s">
        <v>70</v>
      </c>
      <c r="K200" s="10">
        <f t="shared" si="42"/>
        <v>26.040240920448948</v>
      </c>
      <c r="L200" s="10">
        <f t="shared" si="43"/>
        <v>62.49657820907747</v>
      </c>
      <c r="M200" s="10">
        <f t="shared" si="44"/>
        <v>15.624144552269367</v>
      </c>
      <c r="N200" s="10">
        <f>F200*'conversion factor'!$E$7</f>
        <v>104.16096368179579</v>
      </c>
      <c r="O200" s="10">
        <f t="shared" si="46"/>
        <v>104.16096368179579</v>
      </c>
      <c r="P200">
        <f t="shared" si="45"/>
        <v>2.5000000000000001E-3</v>
      </c>
    </row>
    <row r="201" spans="1:16" hidden="1" x14ac:dyDescent="0.25">
      <c r="A201" s="10" t="s">
        <v>162</v>
      </c>
      <c r="B201" s="10" t="s">
        <v>105</v>
      </c>
      <c r="C201" s="10" t="s">
        <v>23</v>
      </c>
      <c r="D201" s="10">
        <v>404</v>
      </c>
      <c r="E201" s="11">
        <v>27</v>
      </c>
      <c r="F201" s="10">
        <v>414.55073064566301</v>
      </c>
      <c r="G201" s="10" t="s">
        <v>67</v>
      </c>
      <c r="H201" s="10"/>
      <c r="I201" s="11">
        <v>0.27</v>
      </c>
      <c r="J201" s="13" t="s">
        <v>70</v>
      </c>
      <c r="K201" s="10">
        <f t="shared" si="42"/>
        <v>66.211138018685162</v>
      </c>
      <c r="L201" s="10">
        <f t="shared" si="43"/>
        <v>158.90673124484439</v>
      </c>
      <c r="M201" s="10">
        <f t="shared" si="44"/>
        <v>39.726682811211099</v>
      </c>
      <c r="N201" s="10">
        <f>F201*'conversion factor'!$E$7</f>
        <v>264.84455207474065</v>
      </c>
      <c r="O201" s="10">
        <f t="shared" si="46"/>
        <v>264.84455207474065</v>
      </c>
      <c r="P201">
        <f t="shared" si="45"/>
        <v>2.7000000000000001E-3</v>
      </c>
    </row>
    <row r="202" spans="1:16" hidden="1" x14ac:dyDescent="0.25">
      <c r="A202" s="10" t="s">
        <v>162</v>
      </c>
      <c r="B202" s="10" t="s">
        <v>105</v>
      </c>
      <c r="C202" s="10" t="s">
        <v>23</v>
      </c>
      <c r="D202" s="10">
        <v>404</v>
      </c>
      <c r="E202" s="11">
        <v>29</v>
      </c>
      <c r="F202" s="10">
        <v>828.78651840596694</v>
      </c>
      <c r="G202" s="10" t="s">
        <v>67</v>
      </c>
      <c r="H202" s="10"/>
      <c r="I202" s="11">
        <v>0.28999999999999998</v>
      </c>
      <c r="J202" s="13" t="s">
        <v>70</v>
      </c>
      <c r="K202" s="10">
        <f t="shared" si="42"/>
        <v>132.37197404702519</v>
      </c>
      <c r="L202" s="10">
        <f t="shared" si="43"/>
        <v>317.69273771286043</v>
      </c>
      <c r="M202" s="10">
        <f t="shared" si="44"/>
        <v>79.423184428215109</v>
      </c>
      <c r="N202" s="10">
        <f>F202*'conversion factor'!$E$7</f>
        <v>529.48789618810076</v>
      </c>
      <c r="O202" s="10">
        <f t="shared" si="46"/>
        <v>529.48789618810076</v>
      </c>
      <c r="P202">
        <f t="shared" si="45"/>
        <v>2.8999999999999998E-3</v>
      </c>
    </row>
    <row r="203" spans="1:16" hidden="1" x14ac:dyDescent="0.25">
      <c r="A203" s="10" t="s">
        <v>162</v>
      </c>
      <c r="B203" s="10" t="s">
        <v>105</v>
      </c>
      <c r="C203" s="10" t="s">
        <v>23</v>
      </c>
      <c r="D203" s="10">
        <v>404</v>
      </c>
      <c r="E203" s="11">
        <v>31</v>
      </c>
      <c r="F203" s="10">
        <v>212.329251893269</v>
      </c>
      <c r="G203" s="10" t="s">
        <v>67</v>
      </c>
      <c r="H203" s="10"/>
      <c r="I203" s="11">
        <v>0.31</v>
      </c>
      <c r="J203" s="13" t="s">
        <v>70</v>
      </c>
      <c r="K203" s="10">
        <f t="shared" si="42"/>
        <v>33.912764743203283</v>
      </c>
      <c r="L203" s="10">
        <f t="shared" si="43"/>
        <v>81.390635383687879</v>
      </c>
      <c r="M203" s="10">
        <f t="shared" si="44"/>
        <v>20.34765884592197</v>
      </c>
      <c r="N203" s="10">
        <f>F203*'conversion factor'!$E$7</f>
        <v>135.65105897281313</v>
      </c>
      <c r="O203" s="10">
        <f t="shared" si="46"/>
        <v>135.65105897281313</v>
      </c>
      <c r="P203">
        <f t="shared" si="45"/>
        <v>3.0999999999999999E-3</v>
      </c>
    </row>
    <row r="204" spans="1:16" hidden="1" x14ac:dyDescent="0.25">
      <c r="A204" s="10" t="s">
        <v>162</v>
      </c>
      <c r="B204" s="10" t="s">
        <v>105</v>
      </c>
      <c r="C204" s="10" t="s">
        <v>23</v>
      </c>
      <c r="D204" s="10">
        <v>404</v>
      </c>
      <c r="E204" s="11">
        <v>33</v>
      </c>
      <c r="F204" s="10">
        <v>0</v>
      </c>
      <c r="G204" s="10" t="s">
        <v>67</v>
      </c>
      <c r="H204" s="10"/>
      <c r="I204" s="11">
        <v>0.33</v>
      </c>
      <c r="J204" s="13" t="s">
        <v>70</v>
      </c>
      <c r="K204" s="10">
        <f t="shared" si="42"/>
        <v>0</v>
      </c>
      <c r="L204" s="10">
        <f t="shared" si="43"/>
        <v>0</v>
      </c>
      <c r="M204" s="10">
        <f t="shared" si="44"/>
        <v>0</v>
      </c>
      <c r="N204" s="10">
        <f>F204*'conversion factor'!$E$7</f>
        <v>0</v>
      </c>
      <c r="O204" s="10">
        <f t="shared" si="46"/>
        <v>0</v>
      </c>
      <c r="P204">
        <f t="shared" si="45"/>
        <v>3.3E-3</v>
      </c>
    </row>
    <row r="205" spans="1:16" hidden="1" x14ac:dyDescent="0.25">
      <c r="A205" s="10" t="s">
        <v>162</v>
      </c>
      <c r="B205" s="10" t="s">
        <v>105</v>
      </c>
      <c r="C205" s="10" t="s">
        <v>23</v>
      </c>
      <c r="D205" s="10">
        <v>404</v>
      </c>
      <c r="E205" s="11">
        <v>35</v>
      </c>
      <c r="F205" s="10">
        <v>632.074929609837</v>
      </c>
      <c r="G205" s="10" t="s">
        <v>67</v>
      </c>
      <c r="H205" s="10"/>
      <c r="I205" s="11">
        <v>0.35</v>
      </c>
      <c r="J205" s="13" t="s">
        <v>70</v>
      </c>
      <c r="K205" s="10">
        <f t="shared" si="42"/>
        <v>100.95362837104545</v>
      </c>
      <c r="L205" s="10">
        <f t="shared" si="43"/>
        <v>242.28870809050909</v>
      </c>
      <c r="M205" s="10">
        <f t="shared" si="44"/>
        <v>60.572177022627272</v>
      </c>
      <c r="N205" s="10">
        <f>F205*'conversion factor'!$E$7</f>
        <v>403.81451348418182</v>
      </c>
      <c r="O205" s="10">
        <f t="shared" si="46"/>
        <v>403.81451348418182</v>
      </c>
      <c r="P205">
        <f t="shared" si="45"/>
        <v>3.4999999999999996E-3</v>
      </c>
    </row>
    <row r="206" spans="1:16" hidden="1" x14ac:dyDescent="0.25">
      <c r="A206" s="10" t="s">
        <v>162</v>
      </c>
      <c r="B206" s="10" t="s">
        <v>105</v>
      </c>
      <c r="C206" s="10" t="s">
        <v>23</v>
      </c>
      <c r="D206" s="10">
        <v>404</v>
      </c>
      <c r="E206" s="11">
        <v>37</v>
      </c>
      <c r="F206" s="10">
        <v>0</v>
      </c>
      <c r="G206" s="10" t="s">
        <v>67</v>
      </c>
      <c r="H206" s="10"/>
      <c r="I206" s="11">
        <v>0.37</v>
      </c>
      <c r="J206" s="13" t="s">
        <v>70</v>
      </c>
      <c r="K206" s="10">
        <f t="shared" si="42"/>
        <v>0</v>
      </c>
      <c r="L206" s="10">
        <f t="shared" si="43"/>
        <v>0</v>
      </c>
      <c r="M206" s="10">
        <f t="shared" si="44"/>
        <v>0</v>
      </c>
      <c r="N206" s="10">
        <f>F206*'conversion factor'!$E$7</f>
        <v>0</v>
      </c>
      <c r="O206" s="10">
        <f t="shared" si="46"/>
        <v>0</v>
      </c>
      <c r="P206">
        <f t="shared" si="45"/>
        <v>3.7000000000000002E-3</v>
      </c>
    </row>
    <row r="207" spans="1:16" hidden="1" x14ac:dyDescent="0.25">
      <c r="A207" s="10" t="s">
        <v>162</v>
      </c>
      <c r="B207" s="10" t="s">
        <v>105</v>
      </c>
      <c r="C207" s="10" t="s">
        <v>23</v>
      </c>
      <c r="D207" s="10">
        <v>404</v>
      </c>
      <c r="E207" s="11">
        <v>39</v>
      </c>
      <c r="F207" s="10">
        <v>410.31252137044402</v>
      </c>
      <c r="G207" s="10" t="s">
        <v>67</v>
      </c>
      <c r="H207" s="10"/>
      <c r="I207" s="11">
        <v>0.39</v>
      </c>
      <c r="J207" s="13" t="s">
        <v>70</v>
      </c>
      <c r="K207" s="10">
        <f t="shared" si="42"/>
        <v>65.534220482352438</v>
      </c>
      <c r="L207" s="10">
        <f t="shared" si="43"/>
        <v>157.28212915764584</v>
      </c>
      <c r="M207" s="10">
        <f t="shared" si="44"/>
        <v>39.32053228941146</v>
      </c>
      <c r="N207" s="10">
        <f>F207*'conversion factor'!$E$7</f>
        <v>262.13688192940975</v>
      </c>
      <c r="O207" s="10">
        <f t="shared" si="46"/>
        <v>262.13688192940975</v>
      </c>
      <c r="P207">
        <f t="shared" si="45"/>
        <v>3.9000000000000003E-3</v>
      </c>
    </row>
    <row r="208" spans="1:16" hidden="1" x14ac:dyDescent="0.25">
      <c r="A208" s="10" t="s">
        <v>162</v>
      </c>
      <c r="B208" s="10" t="s">
        <v>105</v>
      </c>
      <c r="C208" s="10" t="s">
        <v>23</v>
      </c>
      <c r="D208" s="10">
        <v>404</v>
      </c>
      <c r="E208" s="11">
        <v>41</v>
      </c>
      <c r="F208" s="10">
        <v>618.95115912671599</v>
      </c>
      <c r="G208" s="10" t="s">
        <v>67</v>
      </c>
      <c r="H208" s="10"/>
      <c r="I208" s="11">
        <v>0.41</v>
      </c>
      <c r="J208" s="13" t="s">
        <v>70</v>
      </c>
      <c r="K208" s="10">
        <f t="shared" si="42"/>
        <v>98.857528389675025</v>
      </c>
      <c r="L208" s="10">
        <f t="shared" si="43"/>
        <v>237.25806813522004</v>
      </c>
      <c r="M208" s="10">
        <f t="shared" si="44"/>
        <v>59.314517033805011</v>
      </c>
      <c r="N208" s="10">
        <f>F208*'conversion factor'!$E$7</f>
        <v>395.4301135587001</v>
      </c>
      <c r="O208" s="10">
        <f t="shared" si="46"/>
        <v>395.4301135587001</v>
      </c>
      <c r="P208">
        <f t="shared" si="45"/>
        <v>4.0999999999999995E-3</v>
      </c>
    </row>
    <row r="209" spans="1:16" hidden="1" x14ac:dyDescent="0.25">
      <c r="A209" s="10" t="s">
        <v>162</v>
      </c>
      <c r="B209" s="10" t="s">
        <v>105</v>
      </c>
      <c r="C209" s="10" t="s">
        <v>23</v>
      </c>
      <c r="D209" s="10">
        <v>404</v>
      </c>
      <c r="E209" s="11">
        <v>43</v>
      </c>
      <c r="F209" s="10">
        <v>0</v>
      </c>
      <c r="G209" s="10" t="s">
        <v>67</v>
      </c>
      <c r="H209" s="10"/>
      <c r="I209" s="11">
        <v>0.43</v>
      </c>
      <c r="J209" s="13" t="s">
        <v>70</v>
      </c>
      <c r="K209" s="10">
        <f t="shared" si="42"/>
        <v>0</v>
      </c>
      <c r="L209" s="10">
        <f t="shared" si="43"/>
        <v>0</v>
      </c>
      <c r="M209" s="10">
        <f t="shared" si="44"/>
        <v>0</v>
      </c>
      <c r="N209" s="10">
        <f>F209*'conversion factor'!$E$7</f>
        <v>0</v>
      </c>
      <c r="O209" s="10">
        <f t="shared" si="46"/>
        <v>0</v>
      </c>
      <c r="P209">
        <f t="shared" si="45"/>
        <v>4.3E-3</v>
      </c>
    </row>
    <row r="210" spans="1:16" hidden="1" x14ac:dyDescent="0.25">
      <c r="A210" s="10" t="s">
        <v>162</v>
      </c>
      <c r="B210" s="10" t="s">
        <v>105</v>
      </c>
      <c r="C210" s="10" t="s">
        <v>23</v>
      </c>
      <c r="D210" s="10">
        <v>404</v>
      </c>
      <c r="E210" s="11">
        <v>45</v>
      </c>
      <c r="F210" s="10">
        <v>1077.1641206423801</v>
      </c>
      <c r="G210" s="10" t="s">
        <v>67</v>
      </c>
      <c r="H210" s="10"/>
      <c r="I210" s="11">
        <v>0.45</v>
      </c>
      <c r="J210" s="13" t="s">
        <v>70</v>
      </c>
      <c r="K210" s="10">
        <f t="shared" ref="K210:K217" si="47">0.25*N210</f>
        <v>172.04230263820043</v>
      </c>
      <c r="L210" s="10">
        <f t="shared" ref="L210:L217" si="48">0.6*N210</f>
        <v>412.901526331681</v>
      </c>
      <c r="M210" s="10">
        <f t="shared" ref="M210:M217" si="49">0.15*N210</f>
        <v>103.22538158292025</v>
      </c>
      <c r="N210" s="10">
        <f>F210*'conversion factor'!$E$7</f>
        <v>688.1692105528017</v>
      </c>
      <c r="O210" s="10">
        <f t="shared" si="46"/>
        <v>688.1692105528017</v>
      </c>
      <c r="P210">
        <f t="shared" si="45"/>
        <v>4.5000000000000005E-3</v>
      </c>
    </row>
    <row r="211" spans="1:16" hidden="1" x14ac:dyDescent="0.25">
      <c r="A211" s="10" t="s">
        <v>162</v>
      </c>
      <c r="B211" s="10" t="s">
        <v>105</v>
      </c>
      <c r="C211" s="10" t="s">
        <v>23</v>
      </c>
      <c r="D211" s="10">
        <v>404</v>
      </c>
      <c r="E211" s="11">
        <v>47</v>
      </c>
      <c r="F211" s="10">
        <v>0</v>
      </c>
      <c r="G211" s="10" t="s">
        <v>67</v>
      </c>
      <c r="H211" s="10"/>
      <c r="I211" s="11">
        <v>0.47</v>
      </c>
      <c r="J211" s="13" t="s">
        <v>70</v>
      </c>
      <c r="K211" s="10">
        <f t="shared" si="47"/>
        <v>0</v>
      </c>
      <c r="L211" s="10">
        <f t="shared" si="48"/>
        <v>0</v>
      </c>
      <c r="M211" s="10">
        <f t="shared" si="49"/>
        <v>0</v>
      </c>
      <c r="N211" s="10">
        <f>F211*'conversion factor'!$E$7</f>
        <v>0</v>
      </c>
      <c r="O211" s="10">
        <f t="shared" si="46"/>
        <v>0</v>
      </c>
      <c r="P211">
        <f t="shared" si="45"/>
        <v>4.6999999999999993E-3</v>
      </c>
    </row>
    <row r="212" spans="1:16" hidden="1" x14ac:dyDescent="0.25">
      <c r="A212" s="10" t="s">
        <v>162</v>
      </c>
      <c r="B212" s="10" t="s">
        <v>105</v>
      </c>
      <c r="C212" s="10" t="s">
        <v>23</v>
      </c>
      <c r="D212" s="10">
        <v>404</v>
      </c>
      <c r="E212" s="11">
        <v>49</v>
      </c>
      <c r="F212" s="10">
        <v>138.150169233957</v>
      </c>
      <c r="G212" s="10" t="s">
        <v>67</v>
      </c>
      <c r="H212" s="10"/>
      <c r="I212" s="11">
        <v>0.49</v>
      </c>
      <c r="J212" s="13" t="s">
        <v>70</v>
      </c>
      <c r="K212" s="10">
        <f t="shared" si="47"/>
        <v>22.065043542940227</v>
      </c>
      <c r="L212" s="10">
        <f t="shared" si="48"/>
        <v>52.956104503056544</v>
      </c>
      <c r="M212" s="10">
        <f t="shared" si="49"/>
        <v>13.239026125764136</v>
      </c>
      <c r="N212" s="10">
        <f>F212*'conversion factor'!$E$7</f>
        <v>88.260174171760909</v>
      </c>
      <c r="O212" s="10">
        <f t="shared" si="46"/>
        <v>88.260174171760909</v>
      </c>
      <c r="P212">
        <f t="shared" si="45"/>
        <v>4.8999999999999998E-3</v>
      </c>
    </row>
    <row r="213" spans="1:16" hidden="1" x14ac:dyDescent="0.25">
      <c r="A213" s="10" t="s">
        <v>162</v>
      </c>
      <c r="B213" s="10" t="s">
        <v>105</v>
      </c>
      <c r="C213" s="10" t="s">
        <v>23</v>
      </c>
      <c r="D213" s="10">
        <v>404</v>
      </c>
      <c r="E213" s="11">
        <v>51</v>
      </c>
      <c r="F213" s="10">
        <v>0</v>
      </c>
      <c r="G213" s="10" t="s">
        <v>67</v>
      </c>
      <c r="H213" s="10"/>
      <c r="I213" s="11">
        <v>0.51</v>
      </c>
      <c r="J213" s="13" t="s">
        <v>70</v>
      </c>
      <c r="K213" s="10">
        <f t="shared" si="47"/>
        <v>0</v>
      </c>
      <c r="L213" s="10">
        <f t="shared" si="48"/>
        <v>0</v>
      </c>
      <c r="M213" s="10">
        <f t="shared" si="49"/>
        <v>0</v>
      </c>
      <c r="N213" s="10">
        <f>F213*'conversion factor'!$E$7</f>
        <v>0</v>
      </c>
      <c r="O213" s="10">
        <f t="shared" si="46"/>
        <v>0</v>
      </c>
      <c r="P213">
        <f t="shared" si="45"/>
        <v>5.1000000000000004E-3</v>
      </c>
    </row>
    <row r="214" spans="1:16" hidden="1" x14ac:dyDescent="0.25">
      <c r="A214" s="10" t="s">
        <v>162</v>
      </c>
      <c r="B214" s="10" t="s">
        <v>105</v>
      </c>
      <c r="C214" s="10" t="s">
        <v>23</v>
      </c>
      <c r="D214" s="10">
        <v>404</v>
      </c>
      <c r="E214" s="11">
        <v>53</v>
      </c>
      <c r="F214" s="10">
        <v>225.46219750488501</v>
      </c>
      <c r="G214" s="10" t="s">
        <v>67</v>
      </c>
      <c r="H214" s="10"/>
      <c r="I214" s="11">
        <v>0.53</v>
      </c>
      <c r="J214" s="13" t="s">
        <v>70</v>
      </c>
      <c r="K214" s="10">
        <f t="shared" si="47"/>
        <v>36.01033015607392</v>
      </c>
      <c r="L214" s="10">
        <f t="shared" si="48"/>
        <v>86.424792374577407</v>
      </c>
      <c r="M214" s="10">
        <f t="shared" si="49"/>
        <v>21.606198093644352</v>
      </c>
      <c r="N214" s="10">
        <f>F214*'conversion factor'!$E$7</f>
        <v>144.04132062429568</v>
      </c>
      <c r="O214" s="10">
        <f t="shared" si="46"/>
        <v>144.04132062429568</v>
      </c>
      <c r="P214">
        <f t="shared" ref="P214:P277" si="50">I214/100</f>
        <v>5.3E-3</v>
      </c>
    </row>
    <row r="215" spans="1:16" hidden="1" x14ac:dyDescent="0.25">
      <c r="A215" s="10" t="s">
        <v>162</v>
      </c>
      <c r="B215" s="10" t="s">
        <v>105</v>
      </c>
      <c r="C215" s="10" t="s">
        <v>23</v>
      </c>
      <c r="D215" s="10">
        <v>404</v>
      </c>
      <c r="E215" s="11">
        <v>55</v>
      </c>
      <c r="F215" s="10">
        <v>0</v>
      </c>
      <c r="G215" s="10" t="s">
        <v>67</v>
      </c>
      <c r="H215" s="10"/>
      <c r="I215" s="11">
        <v>0.55000000000000004</v>
      </c>
      <c r="J215" s="13" t="s">
        <v>70</v>
      </c>
      <c r="K215" s="10">
        <f t="shared" si="47"/>
        <v>0</v>
      </c>
      <c r="L215" s="10">
        <f t="shared" si="48"/>
        <v>0</v>
      </c>
      <c r="M215" s="10">
        <f t="shared" si="49"/>
        <v>0</v>
      </c>
      <c r="N215" s="10">
        <f>F215*'conversion factor'!$E$7</f>
        <v>0</v>
      </c>
      <c r="O215" s="10">
        <f t="shared" si="46"/>
        <v>0</v>
      </c>
      <c r="P215">
        <f t="shared" si="50"/>
        <v>5.5000000000000005E-3</v>
      </c>
    </row>
    <row r="216" spans="1:16" hidden="1" x14ac:dyDescent="0.25">
      <c r="A216" s="10" t="s">
        <v>162</v>
      </c>
      <c r="B216" s="10" t="s">
        <v>105</v>
      </c>
      <c r="C216" s="10" t="s">
        <v>23</v>
      </c>
      <c r="D216" s="10">
        <v>404</v>
      </c>
      <c r="E216" s="11">
        <v>57</v>
      </c>
      <c r="F216" s="10">
        <v>169.60651289009499</v>
      </c>
      <c r="G216" s="10" t="s">
        <v>67</v>
      </c>
      <c r="H216" s="10"/>
      <c r="I216" s="11">
        <v>0.56999999999999995</v>
      </c>
      <c r="J216" s="13" t="s">
        <v>70</v>
      </c>
      <c r="K216" s="10">
        <f t="shared" si="47"/>
        <v>27.089182104066012</v>
      </c>
      <c r="L216" s="10">
        <f t="shared" si="48"/>
        <v>65.014037049758429</v>
      </c>
      <c r="M216" s="10">
        <f t="shared" si="49"/>
        <v>16.253509262439607</v>
      </c>
      <c r="N216" s="10">
        <f>F216*'conversion factor'!$E$7</f>
        <v>108.35672841626405</v>
      </c>
      <c r="O216" s="10">
        <f t="shared" si="46"/>
        <v>108.35672841626405</v>
      </c>
      <c r="P216">
        <f t="shared" si="50"/>
        <v>5.6999999999999993E-3</v>
      </c>
    </row>
    <row r="217" spans="1:16" hidden="1" x14ac:dyDescent="0.25">
      <c r="A217" s="10" t="s">
        <v>162</v>
      </c>
      <c r="B217" s="10" t="s">
        <v>105</v>
      </c>
      <c r="C217" s="10" t="s">
        <v>23</v>
      </c>
      <c r="D217" s="10">
        <v>404</v>
      </c>
      <c r="E217" s="11">
        <v>59</v>
      </c>
      <c r="F217" s="10">
        <v>66.657778962804997</v>
      </c>
      <c r="G217" s="10" t="s">
        <v>67</v>
      </c>
      <c r="H217" s="10"/>
      <c r="I217" s="11">
        <v>0.59</v>
      </c>
      <c r="J217" s="13" t="s">
        <v>70</v>
      </c>
      <c r="K217" s="10">
        <f t="shared" si="47"/>
        <v>10.646434987706524</v>
      </c>
      <c r="L217" s="10">
        <f t="shared" si="48"/>
        <v>25.551443970495658</v>
      </c>
      <c r="M217" s="10">
        <f t="shared" si="49"/>
        <v>6.3878609926239145</v>
      </c>
      <c r="N217" s="10">
        <f>F217*'conversion factor'!$E$7</f>
        <v>42.585739950826095</v>
      </c>
      <c r="O217" s="10">
        <f t="shared" si="46"/>
        <v>42.585739950826095</v>
      </c>
      <c r="P217">
        <f t="shared" si="50"/>
        <v>5.8999999999999999E-3</v>
      </c>
    </row>
    <row r="218" spans="1:16" hidden="1" x14ac:dyDescent="0.25">
      <c r="A218" s="10" t="s">
        <v>162</v>
      </c>
      <c r="B218" s="10" t="s">
        <v>105</v>
      </c>
      <c r="C218" s="10" t="s">
        <v>23</v>
      </c>
      <c r="D218" s="10">
        <v>404</v>
      </c>
      <c r="E218" s="11">
        <v>61</v>
      </c>
      <c r="F218" s="10" t="s">
        <v>104</v>
      </c>
      <c r="G218" s="10" t="s">
        <v>67</v>
      </c>
      <c r="H218" s="10"/>
      <c r="I218" s="11">
        <v>0.61</v>
      </c>
      <c r="J218" s="13" t="s">
        <v>70</v>
      </c>
      <c r="K218" s="10" t="s">
        <v>104</v>
      </c>
      <c r="L218" s="10" t="s">
        <v>104</v>
      </c>
      <c r="M218" s="10" t="s">
        <v>104</v>
      </c>
      <c r="N218" s="10" t="s">
        <v>104</v>
      </c>
      <c r="O218" s="10">
        <f t="shared" si="46"/>
        <v>0</v>
      </c>
      <c r="P218">
        <f t="shared" si="50"/>
        <v>6.0999999999999995E-3</v>
      </c>
    </row>
    <row r="219" spans="1:16" hidden="1" x14ac:dyDescent="0.25">
      <c r="A219" s="10" t="s">
        <v>109</v>
      </c>
      <c r="B219" s="17" t="s">
        <v>110</v>
      </c>
      <c r="C219" s="10" t="s">
        <v>23</v>
      </c>
      <c r="D219" s="17">
        <v>9</v>
      </c>
      <c r="E219" s="11" t="s">
        <v>108</v>
      </c>
      <c r="F219" s="10">
        <v>353.51017684351018</v>
      </c>
      <c r="G219" s="10" t="s">
        <v>67</v>
      </c>
      <c r="H219" s="10"/>
      <c r="I219" s="11">
        <v>4.4999999999999998E-2</v>
      </c>
      <c r="J219" s="13" t="s">
        <v>70</v>
      </c>
      <c r="K219" s="10"/>
      <c r="L219" s="10">
        <v>0</v>
      </c>
      <c r="M219" s="10">
        <v>225.84749590034622</v>
      </c>
      <c r="N219" s="10">
        <f>F219*'conversion factor'!$E$7</f>
        <v>225.84749590034599</v>
      </c>
      <c r="O219" s="10">
        <f t="shared" si="46"/>
        <v>225.84749590034622</v>
      </c>
      <c r="P219">
        <f t="shared" si="50"/>
        <v>4.4999999999999999E-4</v>
      </c>
    </row>
    <row r="220" spans="1:16" hidden="1" x14ac:dyDescent="0.25">
      <c r="A220" s="10" t="s">
        <v>109</v>
      </c>
      <c r="B220" s="17" t="s">
        <v>111</v>
      </c>
      <c r="C220" s="10" t="s">
        <v>23</v>
      </c>
      <c r="D220" s="17">
        <v>3</v>
      </c>
      <c r="E220" s="11" t="s">
        <v>108</v>
      </c>
      <c r="F220" s="10">
        <v>103.16368638239341</v>
      </c>
      <c r="G220" s="10" t="s">
        <v>67</v>
      </c>
      <c r="H220" s="10"/>
      <c r="I220" s="11">
        <v>4.4999999999999998E-2</v>
      </c>
      <c r="J220" s="13" t="s">
        <v>70</v>
      </c>
      <c r="K220" s="10"/>
      <c r="L220" s="10">
        <v>0</v>
      </c>
      <c r="M220" s="10">
        <v>65.908315413579103</v>
      </c>
      <c r="N220" s="10">
        <f>F220*'conversion factor'!$E$7</f>
        <v>65.908315413579047</v>
      </c>
      <c r="O220" s="10">
        <f t="shared" si="46"/>
        <v>65.908315413579103</v>
      </c>
      <c r="P220">
        <f t="shared" si="50"/>
        <v>4.4999999999999999E-4</v>
      </c>
    </row>
    <row r="221" spans="1:16" hidden="1" x14ac:dyDescent="0.25">
      <c r="A221" s="10" t="s">
        <v>109</v>
      </c>
      <c r="B221" s="17" t="s">
        <v>112</v>
      </c>
      <c r="C221" s="10" t="s">
        <v>23</v>
      </c>
      <c r="D221" s="17">
        <v>5</v>
      </c>
      <c r="E221" s="11" t="s">
        <v>108</v>
      </c>
      <c r="F221" s="10">
        <v>502.68515049331836</v>
      </c>
      <c r="G221" s="10" t="s">
        <v>67</v>
      </c>
      <c r="H221" s="10"/>
      <c r="I221" s="11">
        <v>4.4999999999999998E-2</v>
      </c>
      <c r="J221" s="13" t="s">
        <v>70</v>
      </c>
      <c r="K221" s="10"/>
      <c r="L221" s="10">
        <v>1.9947273346518466</v>
      </c>
      <c r="M221" s="10">
        <v>319.15637354429549</v>
      </c>
      <c r="N221" s="10">
        <f>F221*'conversion factor'!$E$7</f>
        <v>321.15110087894698</v>
      </c>
      <c r="O221" s="10">
        <f t="shared" si="46"/>
        <v>321.15110087894732</v>
      </c>
      <c r="P221">
        <f t="shared" si="50"/>
        <v>4.4999999999999999E-4</v>
      </c>
    </row>
    <row r="222" spans="1:16" hidden="1" x14ac:dyDescent="0.25">
      <c r="A222" s="10" t="s">
        <v>109</v>
      </c>
      <c r="B222" s="17" t="s">
        <v>113</v>
      </c>
      <c r="C222" s="10" t="s">
        <v>23</v>
      </c>
      <c r="D222" s="17">
        <v>10</v>
      </c>
      <c r="E222" s="11" t="s">
        <v>108</v>
      </c>
      <c r="F222" s="10">
        <v>158.13848412967354</v>
      </c>
      <c r="G222" s="10" t="s">
        <v>67</v>
      </c>
      <c r="H222" s="10"/>
      <c r="I222" s="11">
        <v>4.4999999999999998E-2</v>
      </c>
      <c r="J222" s="13" t="s">
        <v>70</v>
      </c>
      <c r="K222" s="10"/>
      <c r="L222" s="10">
        <v>19.845204953589821</v>
      </c>
      <c r="M222" s="10">
        <v>81.184929355594733</v>
      </c>
      <c r="N222" s="10">
        <f>F222*'conversion factor'!$E$7</f>
        <v>101.03013430918443</v>
      </c>
      <c r="O222" s="10">
        <f t="shared" si="46"/>
        <v>101.03013430918455</v>
      </c>
      <c r="P222">
        <f t="shared" si="50"/>
        <v>4.4999999999999999E-4</v>
      </c>
    </row>
    <row r="223" spans="1:16" hidden="1" x14ac:dyDescent="0.25">
      <c r="A223" s="10" t="s">
        <v>109</v>
      </c>
      <c r="B223" s="17" t="s">
        <v>114</v>
      </c>
      <c r="C223" s="10" t="s">
        <v>23</v>
      </c>
      <c r="D223" s="17">
        <v>15</v>
      </c>
      <c r="E223" s="11" t="s">
        <v>108</v>
      </c>
      <c r="F223" s="10">
        <v>285.5872177713037</v>
      </c>
      <c r="G223" s="10" t="s">
        <v>67</v>
      </c>
      <c r="H223" s="10"/>
      <c r="I223" s="11">
        <v>4.4999999999999998E-2</v>
      </c>
      <c r="J223" s="13" t="s">
        <v>70</v>
      </c>
      <c r="K223" s="10"/>
      <c r="L223" s="10">
        <v>0</v>
      </c>
      <c r="M223" s="10">
        <v>182.45346872530888</v>
      </c>
      <c r="N223" s="10">
        <f>F223*'conversion factor'!$E$7</f>
        <v>182.45346872530868</v>
      </c>
      <c r="O223" s="10">
        <f t="shared" si="46"/>
        <v>182.45346872530888</v>
      </c>
      <c r="P223">
        <f t="shared" si="50"/>
        <v>4.4999999999999999E-4</v>
      </c>
    </row>
    <row r="224" spans="1:16" hidden="1" x14ac:dyDescent="0.25">
      <c r="A224" s="10" t="s">
        <v>109</v>
      </c>
      <c r="B224" s="17" t="s">
        <v>115</v>
      </c>
      <c r="C224" s="10" t="s">
        <v>23</v>
      </c>
      <c r="D224" s="17">
        <v>20</v>
      </c>
      <c r="E224" s="11" t="s">
        <v>108</v>
      </c>
      <c r="F224" s="10">
        <v>754.27736006683369</v>
      </c>
      <c r="G224" s="10" t="s">
        <v>67</v>
      </c>
      <c r="H224" s="10"/>
      <c r="I224" s="11">
        <v>4.4999999999999998E-2</v>
      </c>
      <c r="J224" s="13" t="s">
        <v>70</v>
      </c>
      <c r="K224" s="10"/>
      <c r="L224" s="10">
        <v>8.5289581507617775</v>
      </c>
      <c r="M224" s="10">
        <v>473.35717736727867</v>
      </c>
      <c r="N224" s="10">
        <f>F224*'conversion factor'!$E$7</f>
        <v>481.88613551803996</v>
      </c>
      <c r="O224" s="10">
        <f t="shared" si="46"/>
        <v>481.88613551804042</v>
      </c>
      <c r="P224">
        <f t="shared" si="50"/>
        <v>4.4999999999999999E-4</v>
      </c>
    </row>
    <row r="225" spans="1:16" hidden="1" x14ac:dyDescent="0.25">
      <c r="A225" s="10" t="s">
        <v>109</v>
      </c>
      <c r="B225" s="17" t="s">
        <v>116</v>
      </c>
      <c r="C225" s="10" t="s">
        <v>23</v>
      </c>
      <c r="D225" s="17">
        <v>25</v>
      </c>
      <c r="E225" s="11" t="s">
        <v>108</v>
      </c>
      <c r="F225" s="10">
        <v>390.48872180451133</v>
      </c>
      <c r="G225" s="10" t="s">
        <v>67</v>
      </c>
      <c r="H225" s="10"/>
      <c r="I225" s="11">
        <v>4.4999999999999998E-2</v>
      </c>
      <c r="J225" s="13" t="s">
        <v>70</v>
      </c>
      <c r="K225" s="10"/>
      <c r="L225" s="10">
        <v>6.396718613071334</v>
      </c>
      <c r="M225" s="10">
        <v>243.07530729671072</v>
      </c>
      <c r="N225" s="10">
        <f>F225*'conversion factor'!$E$7</f>
        <v>249.47202590978179</v>
      </c>
      <c r="O225" s="10">
        <f t="shared" si="46"/>
        <v>249.47202590978205</v>
      </c>
      <c r="P225">
        <f t="shared" si="50"/>
        <v>4.4999999999999999E-4</v>
      </c>
    </row>
    <row r="226" spans="1:16" hidden="1" x14ac:dyDescent="0.25">
      <c r="A226" s="10" t="s">
        <v>109</v>
      </c>
      <c r="B226" s="17" t="s">
        <v>117</v>
      </c>
      <c r="C226" s="10" t="s">
        <v>23</v>
      </c>
      <c r="D226" s="17">
        <v>30</v>
      </c>
      <c r="E226" s="11" t="s">
        <v>108</v>
      </c>
      <c r="F226" s="10">
        <v>150.16818837097549</v>
      </c>
      <c r="G226" s="10" t="s">
        <v>67</v>
      </c>
      <c r="H226" s="10"/>
      <c r="I226" s="11">
        <v>4.4999999999999998E-2</v>
      </c>
      <c r="J226" s="13" t="s">
        <v>70</v>
      </c>
      <c r="K226" s="10"/>
      <c r="L226" s="10">
        <v>0</v>
      </c>
      <c r="M226" s="10">
        <v>95.938141329633183</v>
      </c>
      <c r="N226" s="10">
        <f>F226*'conversion factor'!$E$7</f>
        <v>95.938141329633098</v>
      </c>
      <c r="O226" s="10">
        <f t="shared" si="46"/>
        <v>95.938141329633183</v>
      </c>
      <c r="P226">
        <f t="shared" si="50"/>
        <v>4.4999999999999999E-4</v>
      </c>
    </row>
    <row r="227" spans="1:16" hidden="1" x14ac:dyDescent="0.25">
      <c r="A227" s="10" t="s">
        <v>109</v>
      </c>
      <c r="B227" s="17" t="s">
        <v>118</v>
      </c>
      <c r="C227" s="10" t="s">
        <v>23</v>
      </c>
      <c r="D227" s="17">
        <v>32.6</v>
      </c>
      <c r="E227" s="11" t="s">
        <v>108</v>
      </c>
      <c r="F227" s="10">
        <v>1167.7585638998685</v>
      </c>
      <c r="G227" s="10" t="s">
        <v>67</v>
      </c>
      <c r="H227" s="10"/>
      <c r="I227" s="11">
        <v>4.4999999999999998E-2</v>
      </c>
      <c r="J227" s="13" t="s">
        <v>70</v>
      </c>
      <c r="K227" s="10"/>
      <c r="L227" s="10">
        <v>8.7087244860572532</v>
      </c>
      <c r="M227" s="10">
        <v>737.33867315284738</v>
      </c>
      <c r="N227" s="10">
        <f>F227*'conversion factor'!$E$7</f>
        <v>746.04739763890382</v>
      </c>
      <c r="O227" s="10">
        <f t="shared" si="46"/>
        <v>746.04739763890461</v>
      </c>
      <c r="P227">
        <f t="shared" si="50"/>
        <v>4.4999999999999999E-4</v>
      </c>
    </row>
    <row r="228" spans="1:16" hidden="1" x14ac:dyDescent="0.25">
      <c r="A228" s="10" t="s">
        <v>109</v>
      </c>
      <c r="B228" s="17" t="s">
        <v>119</v>
      </c>
      <c r="C228" s="10" t="s">
        <v>23</v>
      </c>
      <c r="D228" s="17">
        <v>25</v>
      </c>
      <c r="E228" s="11" t="s">
        <v>108</v>
      </c>
      <c r="F228" s="10">
        <v>1266.2616374589265</v>
      </c>
      <c r="G228" s="10" t="s">
        <v>67</v>
      </c>
      <c r="H228" s="10"/>
      <c r="I228" s="11">
        <v>4.4999999999999998E-2</v>
      </c>
      <c r="J228" s="13" t="s">
        <v>70</v>
      </c>
      <c r="K228" s="10"/>
      <c r="L228" s="10">
        <v>33.071435089317049</v>
      </c>
      <c r="M228" s="10">
        <v>775.90674632628452</v>
      </c>
      <c r="N228" s="10">
        <f>F228*'conversion factor'!$E$7</f>
        <v>808.97818141560083</v>
      </c>
      <c r="O228" s="10">
        <f t="shared" si="46"/>
        <v>808.97818141560151</v>
      </c>
      <c r="P228">
        <f t="shared" si="50"/>
        <v>4.4999999999999999E-4</v>
      </c>
    </row>
    <row r="229" spans="1:16" hidden="1" x14ac:dyDescent="0.25">
      <c r="A229" s="10" t="s">
        <v>109</v>
      </c>
      <c r="B229" s="17" t="s">
        <v>120</v>
      </c>
      <c r="C229" s="10" t="s">
        <v>23</v>
      </c>
      <c r="D229" s="17">
        <v>18</v>
      </c>
      <c r="E229" s="11" t="s">
        <v>108</v>
      </c>
      <c r="F229" s="10">
        <v>203.79901960784312</v>
      </c>
      <c r="G229" s="10" t="s">
        <v>67</v>
      </c>
      <c r="H229" s="10"/>
      <c r="I229" s="11">
        <v>4.4999999999999998E-2</v>
      </c>
      <c r="J229" s="13" t="s">
        <v>70</v>
      </c>
      <c r="K229" s="10"/>
      <c r="L229" s="10">
        <v>2.0030975174291745</v>
      </c>
      <c r="M229" s="10">
        <v>128.19824111546717</v>
      </c>
      <c r="N229" s="10">
        <f>F229*'conversion factor'!$E$7</f>
        <v>130.20133863289618</v>
      </c>
      <c r="O229" s="10">
        <f t="shared" si="46"/>
        <v>130.20133863289635</v>
      </c>
      <c r="P229">
        <f t="shared" si="50"/>
        <v>4.4999999999999999E-4</v>
      </c>
    </row>
    <row r="230" spans="1:16" hidden="1" x14ac:dyDescent="0.25">
      <c r="A230" s="10" t="s">
        <v>109</v>
      </c>
      <c r="B230" s="17" t="s">
        <v>121</v>
      </c>
      <c r="C230" s="10" t="s">
        <v>23</v>
      </c>
      <c r="D230" s="17">
        <v>11.5</v>
      </c>
      <c r="E230" s="11" t="s">
        <v>108</v>
      </c>
      <c r="F230" s="10">
        <v>540.89285714285711</v>
      </c>
      <c r="G230" s="10" t="s">
        <v>67</v>
      </c>
      <c r="H230" s="10"/>
      <c r="I230" s="11">
        <v>4.4999999999999998E-2</v>
      </c>
      <c r="J230" s="13" t="s">
        <v>70</v>
      </c>
      <c r="K230" s="10"/>
      <c r="L230" s="10">
        <v>11.674354965482667</v>
      </c>
      <c r="M230" s="10">
        <v>333.88655201280426</v>
      </c>
      <c r="N230" s="10">
        <f>F230*'conversion factor'!$E$7</f>
        <v>345.56090697828654</v>
      </c>
      <c r="O230" s="10">
        <f t="shared" si="46"/>
        <v>345.56090697828694</v>
      </c>
      <c r="P230">
        <f t="shared" si="50"/>
        <v>4.4999999999999999E-4</v>
      </c>
    </row>
    <row r="231" spans="1:16" hidden="1" x14ac:dyDescent="0.25">
      <c r="A231" s="10" t="s">
        <v>109</v>
      </c>
      <c r="B231" s="17" t="s">
        <v>122</v>
      </c>
      <c r="C231" s="10" t="s">
        <v>23</v>
      </c>
      <c r="D231" s="17">
        <v>109</v>
      </c>
      <c r="E231" s="11" t="s">
        <v>108</v>
      </c>
      <c r="F231" s="10">
        <v>1552.734375</v>
      </c>
      <c r="G231" s="10" t="s">
        <v>67</v>
      </c>
      <c r="H231" s="10"/>
      <c r="I231" s="11">
        <v>4.4999999999999998E-2</v>
      </c>
      <c r="J231" s="13" t="s">
        <v>70</v>
      </c>
      <c r="K231" s="10"/>
      <c r="L231" s="10">
        <v>6.2389772533427097</v>
      </c>
      <c r="M231" s="10">
        <v>985.7584060281481</v>
      </c>
      <c r="N231" s="10">
        <f>F231*'conversion factor'!$E$7</f>
        <v>991.99738328148976</v>
      </c>
      <c r="O231" s="10">
        <f t="shared" si="46"/>
        <v>991.99738328149078</v>
      </c>
      <c r="P231">
        <f t="shared" si="50"/>
        <v>4.4999999999999999E-4</v>
      </c>
    </row>
    <row r="232" spans="1:16" hidden="1" x14ac:dyDescent="0.25">
      <c r="A232" s="10" t="s">
        <v>109</v>
      </c>
      <c r="B232" s="17" t="s">
        <v>123</v>
      </c>
      <c r="C232" s="10" t="s">
        <v>23</v>
      </c>
      <c r="D232" s="17">
        <v>101</v>
      </c>
      <c r="E232" s="11" t="s">
        <v>108</v>
      </c>
      <c r="F232" s="10">
        <v>1142.4731182795697</v>
      </c>
      <c r="G232" s="10" t="s">
        <v>67</v>
      </c>
      <c r="H232" s="10"/>
      <c r="I232" s="11">
        <v>4.4999999999999998E-2</v>
      </c>
      <c r="J232" s="13" t="s">
        <v>70</v>
      </c>
      <c r="K232" s="10"/>
      <c r="L232" s="10">
        <v>94.45677390007026</v>
      </c>
      <c r="M232" s="10">
        <v>635.43647896410903</v>
      </c>
      <c r="N232" s="10">
        <f>F232*'conversion factor'!$E$7</f>
        <v>729.89325286417841</v>
      </c>
      <c r="O232" s="10">
        <f t="shared" si="46"/>
        <v>729.89325286417932</v>
      </c>
      <c r="P232">
        <f t="shared" si="50"/>
        <v>4.4999999999999999E-4</v>
      </c>
    </row>
    <row r="233" spans="1:16" hidden="1" x14ac:dyDescent="0.25">
      <c r="A233" s="10" t="s">
        <v>109</v>
      </c>
      <c r="B233" s="17" t="s">
        <v>124</v>
      </c>
      <c r="C233" s="10" t="s">
        <v>23</v>
      </c>
      <c r="D233" s="17">
        <v>81</v>
      </c>
      <c r="E233" s="11" t="s">
        <v>108</v>
      </c>
      <c r="F233" s="10">
        <v>518.77470355731225</v>
      </c>
      <c r="G233" s="10" t="s">
        <v>67</v>
      </c>
      <c r="H233" s="10"/>
      <c r="I233" s="11">
        <v>4.4999999999999998E-2</v>
      </c>
      <c r="J233" s="13" t="s">
        <v>70</v>
      </c>
      <c r="K233" s="10"/>
      <c r="L233" s="10">
        <v>22.095350272707776</v>
      </c>
      <c r="M233" s="10">
        <v>309.33490381790887</v>
      </c>
      <c r="N233" s="10">
        <f>F233*'conversion factor'!$E$7</f>
        <v>331.4302540906163</v>
      </c>
      <c r="O233" s="10">
        <f t="shared" si="46"/>
        <v>331.43025409061664</v>
      </c>
      <c r="P233">
        <f t="shared" si="50"/>
        <v>4.4999999999999999E-4</v>
      </c>
    </row>
    <row r="234" spans="1:16" hidden="1" x14ac:dyDescent="0.25">
      <c r="A234" s="10" t="s">
        <v>109</v>
      </c>
      <c r="B234" s="17" t="s">
        <v>125</v>
      </c>
      <c r="C234" s="10" t="s">
        <v>23</v>
      </c>
      <c r="D234" s="17">
        <v>87.5</v>
      </c>
      <c r="E234" s="11" t="s">
        <v>108</v>
      </c>
      <c r="F234" s="10">
        <v>1308.1395348837209</v>
      </c>
      <c r="G234" s="10" t="s">
        <v>67</v>
      </c>
      <c r="H234" s="10"/>
      <c r="I234" s="11">
        <v>4.4999999999999998E-2</v>
      </c>
      <c r="J234" s="13" t="s">
        <v>70</v>
      </c>
      <c r="K234" s="10"/>
      <c r="L234" s="10">
        <v>43.334291620116801</v>
      </c>
      <c r="M234" s="10">
        <v>792.39847533927866</v>
      </c>
      <c r="N234" s="10">
        <f>F234*'conversion factor'!$E$7</f>
        <v>835.73276695939455</v>
      </c>
      <c r="O234" s="10">
        <f t="shared" si="46"/>
        <v>835.73276695939546</v>
      </c>
      <c r="P234">
        <f t="shared" si="50"/>
        <v>4.4999999999999999E-4</v>
      </c>
    </row>
    <row r="235" spans="1:16" hidden="1" x14ac:dyDescent="0.25">
      <c r="A235" s="10" t="s">
        <v>109</v>
      </c>
      <c r="B235" s="17" t="s">
        <v>126</v>
      </c>
      <c r="C235" s="10" t="s">
        <v>23</v>
      </c>
      <c r="D235" s="17">
        <v>31</v>
      </c>
      <c r="E235" s="11" t="s">
        <v>108</v>
      </c>
      <c r="F235" s="10">
        <v>280.76923076923077</v>
      </c>
      <c r="G235" s="10" t="s">
        <v>67</v>
      </c>
      <c r="H235" s="10"/>
      <c r="I235" s="11">
        <v>4.4999999999999998E-2</v>
      </c>
      <c r="J235" s="13" t="s">
        <v>70</v>
      </c>
      <c r="K235" s="10"/>
      <c r="L235" s="10">
        <v>54.058338293578672</v>
      </c>
      <c r="M235" s="10">
        <v>125.31705695329602</v>
      </c>
      <c r="N235" s="10">
        <f>F235*'conversion factor'!$E$7</f>
        <v>179.37539524687452</v>
      </c>
      <c r="O235" s="10">
        <f t="shared" si="46"/>
        <v>179.37539524687469</v>
      </c>
      <c r="P235">
        <f t="shared" si="50"/>
        <v>4.4999999999999999E-4</v>
      </c>
    </row>
    <row r="236" spans="1:16" hidden="1" x14ac:dyDescent="0.25">
      <c r="A236" s="10" t="s">
        <v>109</v>
      </c>
      <c r="B236" s="17" t="s">
        <v>127</v>
      </c>
      <c r="C236" s="10" t="s">
        <v>23</v>
      </c>
      <c r="D236" s="17">
        <v>47</v>
      </c>
      <c r="E236" s="11" t="s">
        <v>108</v>
      </c>
      <c r="F236" s="10">
        <v>460.26490066225165</v>
      </c>
      <c r="G236" s="10" t="s">
        <v>67</v>
      </c>
      <c r="H236" s="10"/>
      <c r="I236" s="11">
        <v>4.4999999999999998E-2</v>
      </c>
      <c r="J236" s="13" t="s">
        <v>70</v>
      </c>
      <c r="K236" s="10"/>
      <c r="L236" s="10">
        <v>52.886694597871973</v>
      </c>
      <c r="M236" s="10">
        <v>241.16332736629622</v>
      </c>
      <c r="N236" s="10">
        <f>F236*'conversion factor'!$E$7</f>
        <v>294.05002196416785</v>
      </c>
      <c r="O236" s="10">
        <f t="shared" si="46"/>
        <v>294.0500219641682</v>
      </c>
      <c r="P236">
        <f t="shared" si="50"/>
        <v>4.4999999999999999E-4</v>
      </c>
    </row>
    <row r="237" spans="1:16" hidden="1" x14ac:dyDescent="0.25">
      <c r="A237" s="10" t="s">
        <v>109</v>
      </c>
      <c r="B237" s="17" t="s">
        <v>128</v>
      </c>
      <c r="C237" s="10" t="s">
        <v>23</v>
      </c>
      <c r="D237" s="17">
        <v>68</v>
      </c>
      <c r="E237" s="11" t="s">
        <v>108</v>
      </c>
      <c r="F237" s="10">
        <v>1366.7315175097276</v>
      </c>
      <c r="G237" s="10" t="s">
        <v>67</v>
      </c>
      <c r="H237" s="10"/>
      <c r="I237" s="11">
        <v>4.4999999999999998E-2</v>
      </c>
      <c r="J237" s="13" t="s">
        <v>70</v>
      </c>
      <c r="K237" s="10"/>
      <c r="L237" s="10">
        <v>34.180855924928153</v>
      </c>
      <c r="M237" s="10">
        <v>838.98464543005468</v>
      </c>
      <c r="N237" s="10">
        <f>F237*'conversion factor'!$E$7</f>
        <v>873.16550135498187</v>
      </c>
      <c r="O237" s="10">
        <f t="shared" si="46"/>
        <v>873.16550135498278</v>
      </c>
      <c r="P237">
        <f t="shared" si="50"/>
        <v>4.4999999999999999E-4</v>
      </c>
    </row>
    <row r="238" spans="1:16" hidden="1" x14ac:dyDescent="0.25">
      <c r="A238" s="10" t="s">
        <v>109</v>
      </c>
      <c r="B238" s="17" t="s">
        <v>129</v>
      </c>
      <c r="C238" s="10" t="s">
        <v>23</v>
      </c>
      <c r="D238" s="17">
        <v>81</v>
      </c>
      <c r="E238" s="11" t="s">
        <v>108</v>
      </c>
      <c r="F238" s="10">
        <v>10178.571428571428</v>
      </c>
      <c r="G238" s="10" t="s">
        <v>67</v>
      </c>
      <c r="H238" s="10"/>
      <c r="I238" s="11">
        <v>4.4999999999999998E-2</v>
      </c>
      <c r="J238" s="13" t="s">
        <v>70</v>
      </c>
      <c r="K238" s="10"/>
      <c r="L238" s="10">
        <v>139.43619004296085</v>
      </c>
      <c r="M238" s="10">
        <v>6363.3606728696686</v>
      </c>
      <c r="N238" s="10">
        <f>F238*'conversion factor'!$E$7</f>
        <v>6502.7968629126226</v>
      </c>
      <c r="O238" s="10">
        <f t="shared" si="46"/>
        <v>6502.7968629126299</v>
      </c>
      <c r="P238">
        <f t="shared" si="50"/>
        <v>4.4999999999999999E-4</v>
      </c>
    </row>
    <row r="239" spans="1:16" hidden="1" x14ac:dyDescent="0.25">
      <c r="A239" s="10" t="s">
        <v>109</v>
      </c>
      <c r="B239" s="17" t="s">
        <v>130</v>
      </c>
      <c r="C239" s="10" t="s">
        <v>23</v>
      </c>
      <c r="D239" s="17">
        <v>106</v>
      </c>
      <c r="E239" s="11" t="s">
        <v>108</v>
      </c>
      <c r="F239" s="10">
        <v>1527.7777777777781</v>
      </c>
      <c r="G239" s="10" t="s">
        <v>67</v>
      </c>
      <c r="H239" s="10"/>
      <c r="I239" s="11">
        <v>4.4999999999999998E-2</v>
      </c>
      <c r="J239" s="13" t="s">
        <v>70</v>
      </c>
      <c r="K239" s="10"/>
      <c r="L239" s="10">
        <v>0</v>
      </c>
      <c r="M239" s="10">
        <v>976.05333030072632</v>
      </c>
      <c r="N239" s="10">
        <f>F239*'conversion factor'!$E$7</f>
        <v>976.05333030072529</v>
      </c>
      <c r="O239" s="10">
        <f t="shared" si="46"/>
        <v>976.05333030072632</v>
      </c>
      <c r="P239">
        <f t="shared" si="50"/>
        <v>4.4999999999999999E-4</v>
      </c>
    </row>
    <row r="240" spans="1:16" hidden="1" x14ac:dyDescent="0.25">
      <c r="A240" s="10" t="s">
        <v>109</v>
      </c>
      <c r="B240" s="17" t="s">
        <v>131</v>
      </c>
      <c r="C240" s="10" t="s">
        <v>23</v>
      </c>
      <c r="D240" s="17">
        <v>109</v>
      </c>
      <c r="E240" s="11" t="s">
        <v>108</v>
      </c>
      <c r="F240" s="10">
        <v>1477.2727272727273</v>
      </c>
      <c r="G240" s="10" t="s">
        <v>67</v>
      </c>
      <c r="H240" s="10"/>
      <c r="I240" s="11">
        <v>4.4999999999999998E-2</v>
      </c>
      <c r="J240" s="13" t="s">
        <v>70</v>
      </c>
      <c r="K240" s="10"/>
      <c r="L240" s="10">
        <v>26.399639286871629</v>
      </c>
      <c r="M240" s="10">
        <v>917.38746521878909</v>
      </c>
      <c r="N240" s="10">
        <f>F240*'conversion factor'!$E$7</f>
        <v>943.78710450565973</v>
      </c>
      <c r="O240" s="10">
        <f t="shared" si="46"/>
        <v>943.78710450566075</v>
      </c>
      <c r="P240">
        <f t="shared" si="50"/>
        <v>4.4999999999999999E-4</v>
      </c>
    </row>
    <row r="241" spans="1:16" hidden="1" x14ac:dyDescent="0.25">
      <c r="A241" s="10" t="s">
        <v>109</v>
      </c>
      <c r="B241" s="17" t="s">
        <v>132</v>
      </c>
      <c r="C241" s="10" t="s">
        <v>23</v>
      </c>
      <c r="D241" s="17">
        <v>109</v>
      </c>
      <c r="E241" s="11" t="s">
        <v>108</v>
      </c>
      <c r="F241" s="10">
        <v>770.16129032258061</v>
      </c>
      <c r="G241" s="10" t="s">
        <v>67</v>
      </c>
      <c r="H241" s="10"/>
      <c r="I241" s="11">
        <v>4.4999999999999998E-2</v>
      </c>
      <c r="J241" s="13" t="s">
        <v>70</v>
      </c>
      <c r="K241" s="10"/>
      <c r="L241" s="10">
        <v>5.1521876672765599</v>
      </c>
      <c r="M241" s="10">
        <v>486.88173455763496</v>
      </c>
      <c r="N241" s="10">
        <f>F241*'conversion factor'!$E$7</f>
        <v>492.03392222491095</v>
      </c>
      <c r="O241" s="10">
        <f t="shared" si="46"/>
        <v>492.03392222491152</v>
      </c>
      <c r="P241">
        <f t="shared" si="50"/>
        <v>4.4999999999999999E-4</v>
      </c>
    </row>
    <row r="242" spans="1:16" hidden="1" x14ac:dyDescent="0.25">
      <c r="A242" s="10" t="s">
        <v>109</v>
      </c>
      <c r="B242" s="17" t="s">
        <v>133</v>
      </c>
      <c r="C242" s="10" t="s">
        <v>23</v>
      </c>
      <c r="D242" s="17">
        <v>102</v>
      </c>
      <c r="E242" s="11" t="s">
        <v>108</v>
      </c>
      <c r="F242" s="10">
        <v>2209.2326139088727</v>
      </c>
      <c r="G242" s="10" t="s">
        <v>67</v>
      </c>
      <c r="H242" s="10"/>
      <c r="I242" s="11">
        <v>4.4999999999999998E-2</v>
      </c>
      <c r="J242" s="13" t="s">
        <v>70</v>
      </c>
      <c r="K242" s="10"/>
      <c r="L242" s="10">
        <v>45.899682842708295</v>
      </c>
      <c r="M242" s="10">
        <v>1365.5155645705718</v>
      </c>
      <c r="N242" s="10">
        <f>F242*'conversion factor'!$E$7</f>
        <v>1411.4152474132786</v>
      </c>
      <c r="O242" s="10">
        <f t="shared" si="46"/>
        <v>1411.41524741328</v>
      </c>
      <c r="P242">
        <f t="shared" si="50"/>
        <v>4.4999999999999999E-4</v>
      </c>
    </row>
    <row r="243" spans="1:16" hidden="1" x14ac:dyDescent="0.25">
      <c r="A243" s="10" t="s">
        <v>109</v>
      </c>
      <c r="B243" s="17" t="s">
        <v>134</v>
      </c>
      <c r="C243" s="10" t="s">
        <v>23</v>
      </c>
      <c r="D243" s="17">
        <v>104</v>
      </c>
      <c r="E243" s="11" t="s">
        <v>108</v>
      </c>
      <c r="F243" s="10">
        <v>720.52401746724888</v>
      </c>
      <c r="G243" s="10" t="s">
        <v>67</v>
      </c>
      <c r="H243" s="10"/>
      <c r="I243" s="11">
        <v>4.4999999999999998E-2</v>
      </c>
      <c r="J243" s="13" t="s">
        <v>70</v>
      </c>
      <c r="K243" s="10"/>
      <c r="L243" s="10">
        <v>10.461865787264632</v>
      </c>
      <c r="M243" s="10">
        <v>449.86022885237912</v>
      </c>
      <c r="N243" s="10">
        <f>F243*'conversion factor'!$E$7</f>
        <v>460.32209463964324</v>
      </c>
      <c r="O243" s="10">
        <f t="shared" si="46"/>
        <v>460.32209463964375</v>
      </c>
      <c r="P243">
        <f t="shared" si="50"/>
        <v>4.4999999999999999E-4</v>
      </c>
    </row>
    <row r="244" spans="1:16" hidden="1" x14ac:dyDescent="0.25">
      <c r="A244" s="10" t="s">
        <v>109</v>
      </c>
      <c r="B244" s="17" t="s">
        <v>135</v>
      </c>
      <c r="C244" s="10" t="s">
        <v>23</v>
      </c>
      <c r="D244" s="17">
        <v>95</v>
      </c>
      <c r="E244" s="11" t="s">
        <v>108</v>
      </c>
      <c r="F244" s="10">
        <v>330.70866141732284</v>
      </c>
      <c r="G244" s="10" t="s">
        <v>67</v>
      </c>
      <c r="H244" s="10"/>
      <c r="I244" s="11">
        <v>4.4999999999999998E-2</v>
      </c>
      <c r="J244" s="13" t="s">
        <v>70</v>
      </c>
      <c r="K244" s="10"/>
      <c r="L244" s="10">
        <v>7.545723670184568</v>
      </c>
      <c r="M244" s="10">
        <v>203.73453909498332</v>
      </c>
      <c r="N244" s="10">
        <f>F244*'conversion factor'!$E$7</f>
        <v>211.28026276516769</v>
      </c>
      <c r="O244" s="10">
        <f t="shared" si="46"/>
        <v>211.28026276516789</v>
      </c>
      <c r="P244">
        <f t="shared" si="50"/>
        <v>4.4999999999999999E-4</v>
      </c>
    </row>
    <row r="245" spans="1:16" hidden="1" x14ac:dyDescent="0.25">
      <c r="A245" s="10" t="s">
        <v>109</v>
      </c>
      <c r="B245" s="17" t="s">
        <v>136</v>
      </c>
      <c r="C245" s="10" t="s">
        <v>23</v>
      </c>
      <c r="D245" s="17">
        <v>75.7</v>
      </c>
      <c r="E245" s="11" t="s">
        <v>108</v>
      </c>
      <c r="F245" s="10">
        <v>718.88412017167377</v>
      </c>
      <c r="G245" s="10" t="s">
        <v>67</v>
      </c>
      <c r="H245" s="10"/>
      <c r="I245" s="11">
        <v>4.4999999999999998E-2</v>
      </c>
      <c r="J245" s="13" t="s">
        <v>70</v>
      </c>
      <c r="K245" s="10"/>
      <c r="L245" s="10">
        <v>15.99463124175985</v>
      </c>
      <c r="M245" s="10">
        <v>443.27978012877293</v>
      </c>
      <c r="N245" s="10">
        <f>F245*'conversion factor'!$E$7</f>
        <v>459.27441137053233</v>
      </c>
      <c r="O245" s="10">
        <f t="shared" si="46"/>
        <v>459.27441137053279</v>
      </c>
      <c r="P245">
        <f t="shared" si="50"/>
        <v>4.4999999999999999E-4</v>
      </c>
    </row>
    <row r="246" spans="1:16" hidden="1" x14ac:dyDescent="0.25">
      <c r="A246" s="10" t="s">
        <v>109</v>
      </c>
      <c r="B246" s="17" t="s">
        <v>137</v>
      </c>
      <c r="C246" s="10" t="s">
        <v>23</v>
      </c>
      <c r="D246" s="17">
        <v>67</v>
      </c>
      <c r="E246" s="11" t="s">
        <v>108</v>
      </c>
      <c r="F246" s="10">
        <v>757.57575757575751</v>
      </c>
      <c r="G246" s="10" t="s">
        <v>67</v>
      </c>
      <c r="H246" s="10"/>
      <c r="I246" s="11">
        <v>4.4999999999999998E-2</v>
      </c>
      <c r="J246" s="13" t="s">
        <v>70</v>
      </c>
      <c r="K246" s="10"/>
      <c r="L246" s="10">
        <v>15.782393051934125</v>
      </c>
      <c r="M246" s="10">
        <v>468.2109938740457</v>
      </c>
      <c r="N246" s="10">
        <f>F246*'conversion factor'!$E$7</f>
        <v>483.99338692597934</v>
      </c>
      <c r="O246" s="10">
        <f t="shared" si="46"/>
        <v>483.99338692597985</v>
      </c>
      <c r="P246">
        <f t="shared" si="50"/>
        <v>4.4999999999999999E-4</v>
      </c>
    </row>
    <row r="247" spans="1:16" hidden="1" x14ac:dyDescent="0.25">
      <c r="A247" s="10" t="s">
        <v>109</v>
      </c>
      <c r="B247" s="17" t="s">
        <v>138</v>
      </c>
      <c r="C247" s="10" t="s">
        <v>23</v>
      </c>
      <c r="D247" s="17">
        <v>91</v>
      </c>
      <c r="E247" s="11" t="s">
        <v>108</v>
      </c>
      <c r="F247" s="10">
        <v>645.6728590847307</v>
      </c>
      <c r="G247" s="10" t="s">
        <v>67</v>
      </c>
      <c r="H247" s="10"/>
      <c r="I247" s="11">
        <v>4.4999999999999998E-2</v>
      </c>
      <c r="J247" s="13" t="s">
        <v>70</v>
      </c>
      <c r="K247" s="10"/>
      <c r="L247" s="10">
        <v>7.2368743853907311</v>
      </c>
      <c r="M247" s="10">
        <v>405.26496558188092</v>
      </c>
      <c r="N247" s="10">
        <f>F247*'conversion factor'!$E$7</f>
        <v>412.50183996727122</v>
      </c>
      <c r="O247" s="10">
        <f t="shared" si="46"/>
        <v>412.50183996727162</v>
      </c>
      <c r="P247">
        <f t="shared" si="50"/>
        <v>4.4999999999999999E-4</v>
      </c>
    </row>
    <row r="248" spans="1:16" hidden="1" x14ac:dyDescent="0.25">
      <c r="A248" s="10" t="s">
        <v>109</v>
      </c>
      <c r="B248" s="17" t="s">
        <v>139</v>
      </c>
      <c r="C248" s="10" t="s">
        <v>23</v>
      </c>
      <c r="D248" s="17">
        <v>29</v>
      </c>
      <c r="E248" s="11" t="s">
        <v>108</v>
      </c>
      <c r="F248" s="10">
        <v>172.95788323825707</v>
      </c>
      <c r="G248" s="10" t="s">
        <v>67</v>
      </c>
      <c r="H248" s="10"/>
      <c r="I248" s="11">
        <v>4.4999999999999998E-2</v>
      </c>
      <c r="J248" s="13" t="s">
        <v>70</v>
      </c>
      <c r="K248" s="10"/>
      <c r="L248" s="10">
        <v>1.938558292093377</v>
      </c>
      <c r="M248" s="10">
        <v>108.55926435722911</v>
      </c>
      <c r="N248" s="10">
        <f>F248*'conversion factor'!$E$7</f>
        <v>110.49782264932239</v>
      </c>
      <c r="O248" s="10">
        <f t="shared" si="46"/>
        <v>110.49782264932249</v>
      </c>
      <c r="P248">
        <f t="shared" si="50"/>
        <v>4.4999999999999999E-4</v>
      </c>
    </row>
    <row r="249" spans="1:16" hidden="1" x14ac:dyDescent="0.25">
      <c r="A249" s="10" t="s">
        <v>109</v>
      </c>
      <c r="B249" s="17" t="s">
        <v>139</v>
      </c>
      <c r="C249" s="10" t="s">
        <v>23</v>
      </c>
      <c r="D249" s="17">
        <v>29</v>
      </c>
      <c r="E249" s="11" t="s">
        <v>108</v>
      </c>
      <c r="F249" s="10">
        <v>157.99571154497235</v>
      </c>
      <c r="G249" s="10" t="s">
        <v>67</v>
      </c>
      <c r="H249" s="10"/>
      <c r="I249" s="11">
        <v>4.4999999999999998E-2</v>
      </c>
      <c r="J249" s="13" t="s">
        <v>70</v>
      </c>
      <c r="K249" s="10"/>
      <c r="L249" s="10">
        <v>0</v>
      </c>
      <c r="M249" s="10">
        <v>100.93892100656933</v>
      </c>
      <c r="N249" s="10">
        <f>F249*'conversion factor'!$E$7</f>
        <v>100.93892100656922</v>
      </c>
      <c r="O249" s="10">
        <f t="shared" si="46"/>
        <v>100.93892100656933</v>
      </c>
      <c r="P249">
        <f t="shared" si="50"/>
        <v>4.4999999999999999E-4</v>
      </c>
    </row>
    <row r="250" spans="1:16" hidden="1" x14ac:dyDescent="0.25">
      <c r="A250" s="10" t="s">
        <v>109</v>
      </c>
      <c r="B250" s="17" t="s">
        <v>140</v>
      </c>
      <c r="C250" s="10" t="s">
        <v>23</v>
      </c>
      <c r="D250" s="17">
        <v>75</v>
      </c>
      <c r="E250" s="11" t="s">
        <v>108</v>
      </c>
      <c r="F250" s="10">
        <v>647.05882352941171</v>
      </c>
      <c r="G250" s="10" t="s">
        <v>67</v>
      </c>
      <c r="H250" s="10"/>
      <c r="I250" s="11">
        <v>4.4999999999999998E-2</v>
      </c>
      <c r="J250" s="13" t="s">
        <v>70</v>
      </c>
      <c r="K250" s="10"/>
      <c r="L250" s="10">
        <v>0</v>
      </c>
      <c r="M250" s="10">
        <v>413.38729283324864</v>
      </c>
      <c r="N250" s="10">
        <f>F250*'conversion factor'!$E$7</f>
        <v>413.38729283324824</v>
      </c>
      <c r="O250" s="10">
        <f t="shared" si="46"/>
        <v>413.38729283324864</v>
      </c>
      <c r="P250">
        <f t="shared" si="50"/>
        <v>4.4999999999999999E-4</v>
      </c>
    </row>
    <row r="251" spans="1:16" hidden="1" x14ac:dyDescent="0.25">
      <c r="A251" s="10" t="s">
        <v>109</v>
      </c>
      <c r="B251" s="17" t="s">
        <v>141</v>
      </c>
      <c r="C251" s="10" t="s">
        <v>23</v>
      </c>
      <c r="D251" s="17">
        <v>72.5</v>
      </c>
      <c r="E251" s="11" t="s">
        <v>108</v>
      </c>
      <c r="F251" s="10">
        <v>372.56267409470752</v>
      </c>
      <c r="G251" s="10" t="s">
        <v>67</v>
      </c>
      <c r="H251" s="10"/>
      <c r="I251" s="11">
        <v>4.4999999999999998E-2</v>
      </c>
      <c r="J251" s="13" t="s">
        <v>70</v>
      </c>
      <c r="K251" s="10"/>
      <c r="L251" s="10">
        <v>4.4489642809351908</v>
      </c>
      <c r="M251" s="10">
        <v>233.57062474909753</v>
      </c>
      <c r="N251" s="10">
        <f>F251*'conversion factor'!$E$7</f>
        <v>238.01958903003248</v>
      </c>
      <c r="O251" s="10">
        <f t="shared" si="46"/>
        <v>238.01958903003273</v>
      </c>
      <c r="P251">
        <f t="shared" si="50"/>
        <v>4.4999999999999999E-4</v>
      </c>
    </row>
    <row r="252" spans="1:16" hidden="1" x14ac:dyDescent="0.25">
      <c r="A252" s="10" t="s">
        <v>109</v>
      </c>
      <c r="B252" s="17" t="s">
        <v>142</v>
      </c>
      <c r="C252" s="10" t="s">
        <v>23</v>
      </c>
      <c r="D252" s="17">
        <v>71.400000000000006</v>
      </c>
      <c r="E252" s="11" t="s">
        <v>108</v>
      </c>
      <c r="F252" s="10">
        <v>803.93505051039301</v>
      </c>
      <c r="G252" s="10" t="s">
        <v>67</v>
      </c>
      <c r="H252" s="10"/>
      <c r="I252" s="11">
        <v>4.4999999999999998E-2</v>
      </c>
      <c r="J252" s="13" t="s">
        <v>70</v>
      </c>
      <c r="K252" s="10"/>
      <c r="L252" s="10">
        <v>13.516079139838016</v>
      </c>
      <c r="M252" s="10">
        <v>500.09492817400661</v>
      </c>
      <c r="N252" s="10">
        <f>F252*'conversion factor'!$E$7</f>
        <v>513.61100731384408</v>
      </c>
      <c r="O252" s="10">
        <f t="shared" si="46"/>
        <v>513.61100731384465</v>
      </c>
      <c r="P252">
        <f t="shared" si="50"/>
        <v>4.4999999999999999E-4</v>
      </c>
    </row>
    <row r="253" spans="1:16" hidden="1" x14ac:dyDescent="0.25">
      <c r="A253" s="10" t="s">
        <v>109</v>
      </c>
      <c r="B253" s="17" t="s">
        <v>143</v>
      </c>
      <c r="C253" s="10" t="s">
        <v>23</v>
      </c>
      <c r="D253" s="17">
        <v>67.5</v>
      </c>
      <c r="E253" s="11" t="s">
        <v>108</v>
      </c>
      <c r="F253" s="10">
        <v>1090.909090909091</v>
      </c>
      <c r="G253" s="10" t="s">
        <v>67</v>
      </c>
      <c r="H253" s="10"/>
      <c r="I253" s="11">
        <v>4.4999999999999998E-2</v>
      </c>
      <c r="J253" s="13" t="s">
        <v>70</v>
      </c>
      <c r="K253" s="10"/>
      <c r="L253" s="10">
        <v>17.423761929335278</v>
      </c>
      <c r="M253" s="10">
        <v>679.52671524407572</v>
      </c>
      <c r="N253" s="10">
        <f>F253*'conversion factor'!$E$7</f>
        <v>696.95047717341038</v>
      </c>
      <c r="O253" s="10">
        <f t="shared" si="46"/>
        <v>696.95047717341095</v>
      </c>
      <c r="P253">
        <f t="shared" si="50"/>
        <v>4.4999999999999999E-4</v>
      </c>
    </row>
    <row r="254" spans="1:16" hidden="1" x14ac:dyDescent="0.25">
      <c r="A254" s="10" t="s">
        <v>109</v>
      </c>
      <c r="B254" s="17" t="s">
        <v>144</v>
      </c>
      <c r="C254" s="10" t="s">
        <v>23</v>
      </c>
      <c r="D254" s="17">
        <v>77</v>
      </c>
      <c r="E254" s="11" t="s">
        <v>108</v>
      </c>
      <c r="F254" s="10">
        <v>298.97876914807847</v>
      </c>
      <c r="G254" s="10" t="s">
        <v>67</v>
      </c>
      <c r="H254" s="10"/>
      <c r="I254" s="11">
        <v>4.4999999999999998E-2</v>
      </c>
      <c r="J254" s="13" t="s">
        <v>70</v>
      </c>
      <c r="K254" s="10"/>
      <c r="L254" s="10">
        <v>10.730839672505601</v>
      </c>
      <c r="M254" s="10">
        <v>180.2781064980941</v>
      </c>
      <c r="N254" s="10">
        <f>F254*'conversion factor'!$E$7</f>
        <v>191.0089461705995</v>
      </c>
      <c r="O254" s="10">
        <f t="shared" si="46"/>
        <v>191.0089461705997</v>
      </c>
      <c r="P254">
        <f t="shared" si="50"/>
        <v>4.4999999999999999E-4</v>
      </c>
    </row>
    <row r="255" spans="1:16" hidden="1" x14ac:dyDescent="0.25">
      <c r="A255" s="10" t="s">
        <v>109</v>
      </c>
      <c r="B255" s="17" t="s">
        <v>145</v>
      </c>
      <c r="C255" s="10" t="s">
        <v>23</v>
      </c>
      <c r="D255" s="17">
        <v>74</v>
      </c>
      <c r="E255" s="11" t="s">
        <v>108</v>
      </c>
      <c r="F255" s="10">
        <v>1104.341203351104</v>
      </c>
      <c r="G255" s="10" t="s">
        <v>67</v>
      </c>
      <c r="H255" s="10"/>
      <c r="I255" s="11">
        <v>4.4999999999999998E-2</v>
      </c>
      <c r="J255" s="13" t="s">
        <v>70</v>
      </c>
      <c r="K255" s="10"/>
      <c r="L255" s="10">
        <v>42.575198926085804</v>
      </c>
      <c r="M255" s="10">
        <v>662.95666899190746</v>
      </c>
      <c r="N255" s="10">
        <f>F255*'conversion factor'!$E$7</f>
        <v>705.5318679179926</v>
      </c>
      <c r="O255" s="10">
        <f t="shared" si="46"/>
        <v>705.53186791799328</v>
      </c>
      <c r="P255">
        <f t="shared" si="50"/>
        <v>4.4999999999999999E-4</v>
      </c>
    </row>
    <row r="256" spans="1:16" hidden="1" x14ac:dyDescent="0.25">
      <c r="A256" s="10" t="s">
        <v>109</v>
      </c>
      <c r="B256" s="17" t="s">
        <v>146</v>
      </c>
      <c r="C256" s="10" t="s">
        <v>23</v>
      </c>
      <c r="D256" s="17">
        <v>94</v>
      </c>
      <c r="E256" s="11" t="s">
        <v>108</v>
      </c>
      <c r="F256" s="10">
        <v>1423.6111111111113</v>
      </c>
      <c r="G256" s="10" t="s">
        <v>67</v>
      </c>
      <c r="H256" s="10"/>
      <c r="I256" s="11">
        <v>4.4999999999999998E-2</v>
      </c>
      <c r="J256" s="13" t="s">
        <v>70</v>
      </c>
      <c r="K256" s="10"/>
      <c r="L256" s="10">
        <v>44.366060468214826</v>
      </c>
      <c r="M256" s="10">
        <v>865.13817913018909</v>
      </c>
      <c r="N256" s="10">
        <f>F256*'conversion factor'!$E$7</f>
        <v>909.50423959840305</v>
      </c>
      <c r="O256" s="10">
        <f t="shared" si="46"/>
        <v>909.50423959840396</v>
      </c>
      <c r="P256">
        <f t="shared" si="50"/>
        <v>4.4999999999999999E-4</v>
      </c>
    </row>
    <row r="257" spans="1:16" hidden="1" x14ac:dyDescent="0.25">
      <c r="A257" s="10" t="s">
        <v>109</v>
      </c>
      <c r="B257" s="17" t="s">
        <v>147</v>
      </c>
      <c r="C257" s="10" t="s">
        <v>23</v>
      </c>
      <c r="D257" s="17">
        <v>67</v>
      </c>
      <c r="E257" s="11" t="s">
        <v>108</v>
      </c>
      <c r="F257" s="10">
        <v>1282.213239009601</v>
      </c>
      <c r="G257" s="10" t="s">
        <v>67</v>
      </c>
      <c r="H257" s="10"/>
      <c r="I257" s="11">
        <v>4.4999999999999998E-2</v>
      </c>
      <c r="J257" s="13" t="s">
        <v>70</v>
      </c>
      <c r="K257" s="10"/>
      <c r="L257" s="10">
        <v>8.0706325257995637</v>
      </c>
      <c r="M257" s="10">
        <v>811.09856884285625</v>
      </c>
      <c r="N257" s="10">
        <f>F257*'conversion factor'!$E$7</f>
        <v>819.16920136865497</v>
      </c>
      <c r="O257" s="10">
        <f t="shared" si="46"/>
        <v>819.16920136865576</v>
      </c>
      <c r="P257">
        <f t="shared" si="50"/>
        <v>4.4999999999999999E-4</v>
      </c>
    </row>
    <row r="258" spans="1:16" hidden="1" x14ac:dyDescent="0.25">
      <c r="A258" s="10" t="s">
        <v>109</v>
      </c>
      <c r="B258" s="17" t="s">
        <v>148</v>
      </c>
      <c r="C258" s="10" t="s">
        <v>23</v>
      </c>
      <c r="D258" s="17">
        <v>42.2</v>
      </c>
      <c r="E258" s="11" t="s">
        <v>108</v>
      </c>
      <c r="F258" s="10">
        <v>171.09500805152982</v>
      </c>
      <c r="G258" s="10" t="s">
        <v>67</v>
      </c>
      <c r="H258" s="10"/>
      <c r="I258" s="11">
        <v>4.4999999999999998E-2</v>
      </c>
      <c r="J258" s="13" t="s">
        <v>70</v>
      </c>
      <c r="K258" s="10"/>
      <c r="L258" s="10">
        <v>15.003015617270718</v>
      </c>
      <c r="M258" s="10">
        <v>94.304669594273065</v>
      </c>
      <c r="N258" s="10">
        <f>F258*'conversion factor'!$E$7</f>
        <v>109.30768521154367</v>
      </c>
      <c r="O258" s="10">
        <f t="shared" si="46"/>
        <v>109.30768521154378</v>
      </c>
      <c r="P258">
        <f t="shared" si="50"/>
        <v>4.4999999999999999E-4</v>
      </c>
    </row>
    <row r="259" spans="1:16" hidden="1" x14ac:dyDescent="0.25">
      <c r="A259" s="10" t="s">
        <v>109</v>
      </c>
      <c r="B259" s="17" t="s">
        <v>149</v>
      </c>
      <c r="C259" s="10" t="s">
        <v>23</v>
      </c>
      <c r="D259" s="17">
        <v>50</v>
      </c>
      <c r="E259" s="11" t="s">
        <v>108</v>
      </c>
      <c r="F259" s="10">
        <v>186.91016055889202</v>
      </c>
      <c r="G259" s="10" t="s">
        <v>67</v>
      </c>
      <c r="H259" s="10"/>
      <c r="I259" s="11">
        <v>4.4999999999999998E-2</v>
      </c>
      <c r="J259" s="13" t="s">
        <v>70</v>
      </c>
      <c r="K259" s="10"/>
      <c r="L259" s="10">
        <v>3.9151321898657523</v>
      </c>
      <c r="M259" s="10">
        <v>115.49639960103968</v>
      </c>
      <c r="N259" s="10">
        <f>F259*'conversion factor'!$E$7</f>
        <v>119.41153179090531</v>
      </c>
      <c r="O259" s="10">
        <f t="shared" ref="O259:O322" si="51">SUM(K259:M259)</f>
        <v>119.41153179090544</v>
      </c>
      <c r="P259">
        <f t="shared" si="50"/>
        <v>4.4999999999999999E-4</v>
      </c>
    </row>
    <row r="260" spans="1:16" hidden="1" x14ac:dyDescent="0.25">
      <c r="A260" s="10" t="s">
        <v>109</v>
      </c>
      <c r="B260" s="17" t="s">
        <v>150</v>
      </c>
      <c r="C260" s="10" t="s">
        <v>23</v>
      </c>
      <c r="D260" s="17">
        <v>117</v>
      </c>
      <c r="E260" s="11" t="s">
        <v>108</v>
      </c>
      <c r="F260" s="10">
        <v>277.94935145151328</v>
      </c>
      <c r="G260" s="10" t="s">
        <v>67</v>
      </c>
      <c r="H260" s="10"/>
      <c r="I260" s="11">
        <v>4.4999999999999998E-2</v>
      </c>
      <c r="J260" s="13" t="s">
        <v>70</v>
      </c>
      <c r="K260" s="10"/>
      <c r="L260" s="10">
        <v>4.9326070934395725</v>
      </c>
      <c r="M260" s="10">
        <v>172.64124827038503</v>
      </c>
      <c r="N260" s="10">
        <f>F260*'conversion factor'!$E$7</f>
        <v>177.57385536382444</v>
      </c>
      <c r="O260" s="10">
        <f t="shared" si="51"/>
        <v>177.57385536382461</v>
      </c>
      <c r="P260">
        <f t="shared" si="50"/>
        <v>4.4999999999999999E-4</v>
      </c>
    </row>
    <row r="261" spans="1:16" hidden="1" x14ac:dyDescent="0.25">
      <c r="A261" s="10" t="s">
        <v>109</v>
      </c>
      <c r="B261" s="17" t="s">
        <v>151</v>
      </c>
      <c r="C261" s="10" t="s">
        <v>23</v>
      </c>
      <c r="D261" s="17">
        <v>215</v>
      </c>
      <c r="E261" s="11" t="s">
        <v>108</v>
      </c>
      <c r="F261" s="10">
        <v>393.0817610062893</v>
      </c>
      <c r="G261" s="10" t="s">
        <v>67</v>
      </c>
      <c r="H261" s="10"/>
      <c r="I261" s="11">
        <v>4.4999999999999998E-2</v>
      </c>
      <c r="J261" s="13" t="s">
        <v>70</v>
      </c>
      <c r="K261" s="10"/>
      <c r="L261" s="10">
        <v>0</v>
      </c>
      <c r="M261" s="10">
        <v>251.12864415970651</v>
      </c>
      <c r="N261" s="10">
        <f>F261*'conversion factor'!$E$7</f>
        <v>251.12864415970628</v>
      </c>
      <c r="O261" s="10">
        <f t="shared" si="51"/>
        <v>251.12864415970651</v>
      </c>
      <c r="P261">
        <f t="shared" si="50"/>
        <v>4.4999999999999999E-4</v>
      </c>
    </row>
    <row r="262" spans="1:16" hidden="1" x14ac:dyDescent="0.25">
      <c r="A262" s="10" t="s">
        <v>109</v>
      </c>
      <c r="B262" s="17" t="s">
        <v>152</v>
      </c>
      <c r="C262" s="10" t="s">
        <v>23</v>
      </c>
      <c r="D262" s="17">
        <v>120</v>
      </c>
      <c r="E262" s="11" t="s">
        <v>108</v>
      </c>
      <c r="F262" s="10">
        <v>2942.9987608426272</v>
      </c>
      <c r="G262" s="10" t="s">
        <v>67</v>
      </c>
      <c r="H262" s="10"/>
      <c r="I262" s="11">
        <v>4.4999999999999998E-2</v>
      </c>
      <c r="J262" s="13" t="s">
        <v>70</v>
      </c>
      <c r="K262" s="10"/>
      <c r="L262" s="10">
        <v>112.15212311667688</v>
      </c>
      <c r="M262" s="10">
        <v>1768.0452350158473</v>
      </c>
      <c r="N262" s="10">
        <f>F262*'conversion factor'!$E$7</f>
        <v>1880.1973581325221</v>
      </c>
      <c r="O262" s="10">
        <f t="shared" si="51"/>
        <v>1880.1973581325242</v>
      </c>
      <c r="P262">
        <f t="shared" si="50"/>
        <v>4.4999999999999999E-4</v>
      </c>
    </row>
    <row r="263" spans="1:16" hidden="1" x14ac:dyDescent="0.25">
      <c r="A263" s="10" t="s">
        <v>109</v>
      </c>
      <c r="B263" s="17" t="s">
        <v>153</v>
      </c>
      <c r="C263" s="10" t="s">
        <v>23</v>
      </c>
      <c r="D263" s="17">
        <v>20.7</v>
      </c>
      <c r="E263" s="11" t="s">
        <v>108</v>
      </c>
      <c r="F263" s="10">
        <v>106.70731707317073</v>
      </c>
      <c r="G263" s="10" t="s">
        <v>67</v>
      </c>
      <c r="H263" s="10"/>
      <c r="I263" s="11">
        <v>4.4999999999999998E-2</v>
      </c>
      <c r="J263" s="13" t="s">
        <v>70</v>
      </c>
      <c r="K263" s="10"/>
      <c r="L263" s="10">
        <v>1.9477782644582113</v>
      </c>
      <c r="M263" s="10">
        <v>66.224460991579193</v>
      </c>
      <c r="N263" s="10">
        <f>F263*'conversion factor'!$E$7</f>
        <v>68.172239256037329</v>
      </c>
      <c r="O263" s="10">
        <f t="shared" si="51"/>
        <v>68.1722392560374</v>
      </c>
      <c r="P263">
        <f t="shared" si="50"/>
        <v>4.4999999999999999E-4</v>
      </c>
    </row>
    <row r="264" spans="1:16" hidden="1" x14ac:dyDescent="0.25">
      <c r="A264" s="10" t="s">
        <v>109</v>
      </c>
      <c r="B264" s="17" t="s">
        <v>154</v>
      </c>
      <c r="C264" s="10" t="s">
        <v>23</v>
      </c>
      <c r="D264" s="17">
        <v>20.5</v>
      </c>
      <c r="E264" s="11" t="s">
        <v>108</v>
      </c>
      <c r="F264" s="10">
        <v>321.10658268494507</v>
      </c>
      <c r="G264" s="10" t="s">
        <v>67</v>
      </c>
      <c r="H264" s="10"/>
      <c r="I264" s="11">
        <v>4.4999999999999998E-2</v>
      </c>
      <c r="J264" s="13" t="s">
        <v>70</v>
      </c>
      <c r="K264" s="10"/>
      <c r="L264" s="10">
        <v>31.560887772868643</v>
      </c>
      <c r="M264" s="10">
        <v>173.58488275077755</v>
      </c>
      <c r="N264" s="10">
        <f>F264*'conversion factor'!$E$7</f>
        <v>205.14577052364595</v>
      </c>
      <c r="O264" s="10">
        <f t="shared" si="51"/>
        <v>205.14577052364621</v>
      </c>
      <c r="P264">
        <f t="shared" si="50"/>
        <v>4.4999999999999999E-4</v>
      </c>
    </row>
    <row r="265" spans="1:16" hidden="1" x14ac:dyDescent="0.25">
      <c r="A265" s="10" t="s">
        <v>109</v>
      </c>
      <c r="B265" s="17" t="s">
        <v>155</v>
      </c>
      <c r="C265" s="10" t="s">
        <v>23</v>
      </c>
      <c r="D265" s="17">
        <v>19.8</v>
      </c>
      <c r="E265" s="11" t="s">
        <v>108</v>
      </c>
      <c r="F265" s="10">
        <v>1039.7581531696592</v>
      </c>
      <c r="G265" s="10" t="s">
        <v>67</v>
      </c>
      <c r="H265" s="10"/>
      <c r="I265" s="11">
        <v>4.4999999999999998E-2</v>
      </c>
      <c r="J265" s="13" t="s">
        <v>70</v>
      </c>
      <c r="K265" s="10"/>
      <c r="L265" s="10">
        <v>38.041986623533411</v>
      </c>
      <c r="M265" s="10">
        <v>626.22962595662693</v>
      </c>
      <c r="N265" s="10">
        <f>F265*'conversion factor'!$E$7</f>
        <v>664.27161258015963</v>
      </c>
      <c r="O265" s="10">
        <f t="shared" si="51"/>
        <v>664.27161258016031</v>
      </c>
      <c r="P265">
        <f t="shared" si="50"/>
        <v>4.4999999999999999E-4</v>
      </c>
    </row>
    <row r="266" spans="1:16" hidden="1" x14ac:dyDescent="0.25">
      <c r="A266" s="10" t="s">
        <v>109</v>
      </c>
      <c r="B266" s="17" t="s">
        <v>156</v>
      </c>
      <c r="C266" s="10" t="s">
        <v>23</v>
      </c>
      <c r="D266" s="17">
        <v>24</v>
      </c>
      <c r="E266" s="11" t="s">
        <v>108</v>
      </c>
      <c r="F266" s="10">
        <v>188.34136099790047</v>
      </c>
      <c r="G266" s="10" t="s">
        <v>67</v>
      </c>
      <c r="H266" s="10"/>
      <c r="I266" s="11">
        <v>4.4999999999999998E-2</v>
      </c>
      <c r="J266" s="13" t="s">
        <v>70</v>
      </c>
      <c r="K266" s="10"/>
      <c r="L266" s="10">
        <v>0</v>
      </c>
      <c r="M266" s="10">
        <v>120.32588463406168</v>
      </c>
      <c r="N266" s="10">
        <f>F266*'conversion factor'!$E$7</f>
        <v>120.32588463406157</v>
      </c>
      <c r="O266" s="10">
        <f t="shared" si="51"/>
        <v>120.32588463406168</v>
      </c>
      <c r="P266">
        <f t="shared" si="50"/>
        <v>4.4999999999999999E-4</v>
      </c>
    </row>
    <row r="267" spans="1:16" hidden="1" x14ac:dyDescent="0.25">
      <c r="A267" s="10" t="s">
        <v>109</v>
      </c>
      <c r="B267" s="17" t="s">
        <v>157</v>
      </c>
      <c r="C267" s="10" t="s">
        <v>23</v>
      </c>
      <c r="D267" s="17">
        <v>19.5</v>
      </c>
      <c r="E267" s="11" t="s">
        <v>108</v>
      </c>
      <c r="F267" s="10">
        <v>138.41441865944162</v>
      </c>
      <c r="G267" s="10" t="s">
        <v>67</v>
      </c>
      <c r="H267" s="10"/>
      <c r="I267" s="11">
        <v>4.4999999999999998E-2</v>
      </c>
      <c r="J267" s="13" t="s">
        <v>70</v>
      </c>
      <c r="K267" s="10"/>
      <c r="L267" s="10">
        <v>7.5258719606819815</v>
      </c>
      <c r="M267" s="10">
        <v>80.9031235773313</v>
      </c>
      <c r="N267" s="10">
        <f>F267*'conversion factor'!$E$7</f>
        <v>88.428995538013183</v>
      </c>
      <c r="O267" s="10">
        <f t="shared" si="51"/>
        <v>88.428995538013282</v>
      </c>
      <c r="P267">
        <f t="shared" si="50"/>
        <v>4.4999999999999999E-4</v>
      </c>
    </row>
    <row r="268" spans="1:16" hidden="1" x14ac:dyDescent="0.25">
      <c r="A268" s="10" t="s">
        <v>109</v>
      </c>
      <c r="B268" s="17" t="s">
        <v>158</v>
      </c>
      <c r="C268" s="10" t="s">
        <v>23</v>
      </c>
      <c r="D268" s="17">
        <v>23</v>
      </c>
      <c r="E268" s="11" t="s">
        <v>108</v>
      </c>
      <c r="F268" s="10">
        <v>178.89630078835657</v>
      </c>
      <c r="G268" s="10" t="s">
        <v>67</v>
      </c>
      <c r="H268" s="10"/>
      <c r="I268" s="11">
        <v>4.4999999999999998E-2</v>
      </c>
      <c r="J268" s="13" t="s">
        <v>70</v>
      </c>
      <c r="K268" s="10"/>
      <c r="L268" s="10">
        <v>7.7485903061527406</v>
      </c>
      <c r="M268" s="10">
        <v>106.54311670960017</v>
      </c>
      <c r="N268" s="10">
        <f>F268*'conversion factor'!$E$7</f>
        <v>114.29170701575279</v>
      </c>
      <c r="O268" s="10">
        <f t="shared" si="51"/>
        <v>114.29170701575291</v>
      </c>
      <c r="P268">
        <f t="shared" si="50"/>
        <v>4.4999999999999999E-4</v>
      </c>
    </row>
    <row r="269" spans="1:16" hidden="1" x14ac:dyDescent="0.25">
      <c r="A269" s="10" t="s">
        <v>109</v>
      </c>
      <c r="B269" s="17" t="s">
        <v>159</v>
      </c>
      <c r="C269" s="10" t="s">
        <v>23</v>
      </c>
      <c r="D269" s="17">
        <v>22.8</v>
      </c>
      <c r="E269" s="11" t="s">
        <v>108</v>
      </c>
      <c r="F269" s="10">
        <v>276.00050181909421</v>
      </c>
      <c r="G269" s="10" t="s">
        <v>67</v>
      </c>
      <c r="H269" s="10"/>
      <c r="I269" s="11">
        <v>4.4999999999999998E-2</v>
      </c>
      <c r="J269" s="13" t="s">
        <v>70</v>
      </c>
      <c r="K269" s="10"/>
      <c r="L269" s="10">
        <v>30.056043975456028</v>
      </c>
      <c r="M269" s="10">
        <v>146.27274734721937</v>
      </c>
      <c r="N269" s="10">
        <f>F269*'conversion factor'!$E$7</f>
        <v>176.32879132267522</v>
      </c>
      <c r="O269" s="10">
        <f t="shared" si="51"/>
        <v>176.32879132267539</v>
      </c>
      <c r="P269">
        <f t="shared" si="50"/>
        <v>4.4999999999999999E-4</v>
      </c>
    </row>
    <row r="270" spans="1:16" hidden="1" x14ac:dyDescent="0.25">
      <c r="A270" s="10" t="s">
        <v>109</v>
      </c>
      <c r="B270" s="17" t="s">
        <v>160</v>
      </c>
      <c r="C270" s="10" t="s">
        <v>23</v>
      </c>
      <c r="D270" s="17">
        <v>25.1</v>
      </c>
      <c r="E270" s="11" t="s">
        <v>108</v>
      </c>
      <c r="F270" s="10">
        <v>185.50942137735535</v>
      </c>
      <c r="G270" s="10" t="s">
        <v>67</v>
      </c>
      <c r="H270" s="10"/>
      <c r="I270" s="11">
        <v>4.4999999999999998E-2</v>
      </c>
      <c r="J270" s="13" t="s">
        <v>70</v>
      </c>
      <c r="K270" s="10"/>
      <c r="L270" s="10">
        <v>6.0262698188145043</v>
      </c>
      <c r="M270" s="10">
        <v>112.49036995120409</v>
      </c>
      <c r="N270" s="10">
        <f>F270*'conversion factor'!$E$7</f>
        <v>118.51663977001847</v>
      </c>
      <c r="O270" s="10">
        <f t="shared" si="51"/>
        <v>118.51663977001859</v>
      </c>
      <c r="P270">
        <f t="shared" si="50"/>
        <v>4.4999999999999999E-4</v>
      </c>
    </row>
    <row r="271" spans="1:16" hidden="1" x14ac:dyDescent="0.25">
      <c r="A271" s="10" t="s">
        <v>109</v>
      </c>
      <c r="B271" s="17" t="s">
        <v>161</v>
      </c>
      <c r="C271" s="10" t="s">
        <v>23</v>
      </c>
      <c r="D271" s="17">
        <v>83</v>
      </c>
      <c r="E271" s="11" t="s">
        <v>108</v>
      </c>
      <c r="F271" s="10">
        <v>836.88080495356019</v>
      </c>
      <c r="G271" s="10" t="s">
        <v>67</v>
      </c>
      <c r="H271" s="10"/>
      <c r="I271" s="11">
        <v>4.4999999999999998E-2</v>
      </c>
      <c r="J271" s="13" t="s">
        <v>70</v>
      </c>
      <c r="K271" s="10"/>
      <c r="L271" s="10">
        <v>43.018548543029894</v>
      </c>
      <c r="M271" s="10">
        <v>491.64055477748451</v>
      </c>
      <c r="N271" s="10">
        <f>F271*'conversion factor'!$E$7</f>
        <v>534.65910332051385</v>
      </c>
      <c r="O271" s="10">
        <f t="shared" si="51"/>
        <v>534.65910332051442</v>
      </c>
      <c r="P271">
        <f t="shared" si="50"/>
        <v>4.4999999999999999E-4</v>
      </c>
    </row>
    <row r="272" spans="1:16" hidden="1" x14ac:dyDescent="0.25">
      <c r="A272" s="10" t="s">
        <v>163</v>
      </c>
      <c r="B272" s="18" t="s">
        <v>164</v>
      </c>
      <c r="C272" s="10" t="s">
        <v>21</v>
      </c>
      <c r="D272" s="10">
        <v>5</v>
      </c>
      <c r="E272" s="19" t="s">
        <v>228</v>
      </c>
      <c r="F272" s="10">
        <v>0.74468085106382975</v>
      </c>
      <c r="G272" s="10" t="s">
        <v>26</v>
      </c>
      <c r="H272" s="10"/>
      <c r="I272" s="10">
        <v>4.8</v>
      </c>
      <c r="J272" s="13" t="s">
        <v>70</v>
      </c>
      <c r="K272" s="10">
        <f t="shared" ref="K272:K303" si="52">0.02*N272</f>
        <v>1.4893617021276595E-2</v>
      </c>
      <c r="L272" s="10">
        <f t="shared" ref="L272:L303" si="53">0.9*N272</f>
        <v>0.67021276595744683</v>
      </c>
      <c r="M272" s="10">
        <f t="shared" ref="M272:M303" si="54">0.08*N272</f>
        <v>5.9574468085106379E-2</v>
      </c>
      <c r="N272" s="10">
        <f>F272</f>
        <v>0.74468085106382975</v>
      </c>
      <c r="O272" s="10">
        <f t="shared" si="51"/>
        <v>0.74468085106382975</v>
      </c>
      <c r="P272">
        <f t="shared" si="50"/>
        <v>4.8000000000000001E-2</v>
      </c>
    </row>
    <row r="273" spans="1:16" hidden="1" x14ac:dyDescent="0.25">
      <c r="A273" s="10" t="s">
        <v>163</v>
      </c>
      <c r="B273" s="10" t="s">
        <v>165</v>
      </c>
      <c r="C273" s="10" t="s">
        <v>21</v>
      </c>
      <c r="D273" s="10">
        <v>11</v>
      </c>
      <c r="E273" s="19" t="s">
        <v>229</v>
      </c>
      <c r="F273" s="10">
        <v>0.53022269353128315</v>
      </c>
      <c r="G273" s="10" t="s">
        <v>26</v>
      </c>
      <c r="H273" s="10"/>
      <c r="I273" s="10">
        <v>10.199999999999999</v>
      </c>
      <c r="J273" s="13" t="s">
        <v>70</v>
      </c>
      <c r="K273" s="10">
        <f t="shared" si="52"/>
        <v>1.0604453870625663E-2</v>
      </c>
      <c r="L273" s="10">
        <f t="shared" si="53"/>
        <v>0.47720042417815484</v>
      </c>
      <c r="M273" s="10">
        <f t="shared" si="54"/>
        <v>4.2417815482502653E-2</v>
      </c>
      <c r="N273" s="10">
        <f t="shared" ref="N273:N336" si="55">F273</f>
        <v>0.53022269353128315</v>
      </c>
      <c r="O273" s="10">
        <f t="shared" si="51"/>
        <v>0.53022269353128315</v>
      </c>
      <c r="P273">
        <f t="shared" si="50"/>
        <v>0.10199999999999999</v>
      </c>
    </row>
    <row r="274" spans="1:16" hidden="1" x14ac:dyDescent="0.25">
      <c r="A274" s="10" t="s">
        <v>163</v>
      </c>
      <c r="B274" s="10" t="s">
        <v>166</v>
      </c>
      <c r="C274" s="10" t="s">
        <v>21</v>
      </c>
      <c r="D274" s="10">
        <v>17</v>
      </c>
      <c r="E274" s="19" t="s">
        <v>230</v>
      </c>
      <c r="F274" s="10">
        <v>0.21857923497267759</v>
      </c>
      <c r="G274" s="10" t="s">
        <v>26</v>
      </c>
      <c r="H274" s="10"/>
      <c r="I274" s="10">
        <v>16.3</v>
      </c>
      <c r="J274" s="13" t="s">
        <v>70</v>
      </c>
      <c r="K274" s="10">
        <f t="shared" si="52"/>
        <v>4.3715846994535519E-3</v>
      </c>
      <c r="L274" s="10">
        <f t="shared" si="53"/>
        <v>0.19672131147540983</v>
      </c>
      <c r="M274" s="10">
        <f t="shared" si="54"/>
        <v>1.7486338797814208E-2</v>
      </c>
      <c r="N274" s="10">
        <f t="shared" si="55"/>
        <v>0.21857923497267759</v>
      </c>
      <c r="O274" s="10">
        <f t="shared" si="51"/>
        <v>0.21857923497267762</v>
      </c>
      <c r="P274">
        <f t="shared" si="50"/>
        <v>0.16300000000000001</v>
      </c>
    </row>
    <row r="275" spans="1:16" hidden="1" x14ac:dyDescent="0.25">
      <c r="A275" s="10" t="s">
        <v>163</v>
      </c>
      <c r="B275" s="10" t="s">
        <v>167</v>
      </c>
      <c r="C275" s="10" t="s">
        <v>21</v>
      </c>
      <c r="D275" s="10">
        <v>20</v>
      </c>
      <c r="E275" s="19" t="s">
        <v>231</v>
      </c>
      <c r="F275" s="10">
        <v>1.0230179028132993</v>
      </c>
      <c r="G275" s="10" t="s">
        <v>26</v>
      </c>
      <c r="H275" s="10"/>
      <c r="I275" s="10">
        <v>19.600000000000001</v>
      </c>
      <c r="J275" s="13" t="s">
        <v>70</v>
      </c>
      <c r="K275" s="10">
        <f t="shared" si="52"/>
        <v>2.0460358056265986E-2</v>
      </c>
      <c r="L275" s="10">
        <f t="shared" si="53"/>
        <v>0.92071611253196939</v>
      </c>
      <c r="M275" s="10">
        <f t="shared" si="54"/>
        <v>8.1841432225063945E-2</v>
      </c>
      <c r="N275" s="10">
        <f t="shared" si="55"/>
        <v>1.0230179028132993</v>
      </c>
      <c r="O275" s="10">
        <f t="shared" si="51"/>
        <v>1.0230179028132993</v>
      </c>
      <c r="P275">
        <f t="shared" si="50"/>
        <v>0.19600000000000001</v>
      </c>
    </row>
    <row r="276" spans="1:16" hidden="1" x14ac:dyDescent="0.25">
      <c r="A276" s="10" t="s">
        <v>163</v>
      </c>
      <c r="B276" s="10" t="s">
        <v>168</v>
      </c>
      <c r="C276" s="10" t="s">
        <v>21</v>
      </c>
      <c r="D276" s="10">
        <v>6</v>
      </c>
      <c r="E276" s="19" t="s">
        <v>232</v>
      </c>
      <c r="F276" s="10">
        <v>0.31088082901554404</v>
      </c>
      <c r="G276" s="10" t="s">
        <v>26</v>
      </c>
      <c r="H276" s="10"/>
      <c r="I276" s="10">
        <v>5.0999999999999996</v>
      </c>
      <c r="J276" s="13" t="s">
        <v>70</v>
      </c>
      <c r="K276" s="10">
        <f t="shared" si="52"/>
        <v>6.2176165803108805E-3</v>
      </c>
      <c r="L276" s="10">
        <f t="shared" si="53"/>
        <v>0.27979274611398963</v>
      </c>
      <c r="M276" s="10">
        <f t="shared" si="54"/>
        <v>2.4870466321243522E-2</v>
      </c>
      <c r="N276" s="10">
        <f t="shared" si="55"/>
        <v>0.31088082901554404</v>
      </c>
      <c r="O276" s="10">
        <f t="shared" si="51"/>
        <v>0.31088082901554404</v>
      </c>
      <c r="P276">
        <f t="shared" si="50"/>
        <v>5.0999999999999997E-2</v>
      </c>
    </row>
    <row r="277" spans="1:16" hidden="1" x14ac:dyDescent="0.25">
      <c r="A277" s="10" t="s">
        <v>163</v>
      </c>
      <c r="B277" s="10" t="s">
        <v>169</v>
      </c>
      <c r="C277" s="10" t="s">
        <v>21</v>
      </c>
      <c r="D277" s="10">
        <v>11</v>
      </c>
      <c r="E277" s="19" t="s">
        <v>233</v>
      </c>
      <c r="F277" s="10">
        <v>0</v>
      </c>
      <c r="G277" s="10" t="s">
        <v>26</v>
      </c>
      <c r="H277" s="10"/>
      <c r="I277" s="10">
        <v>10.1</v>
      </c>
      <c r="J277" s="13" t="s">
        <v>70</v>
      </c>
      <c r="K277" s="10">
        <f t="shared" si="52"/>
        <v>0</v>
      </c>
      <c r="L277" s="10">
        <f t="shared" si="53"/>
        <v>0</v>
      </c>
      <c r="M277" s="10">
        <f t="shared" si="54"/>
        <v>0</v>
      </c>
      <c r="N277" s="10">
        <f t="shared" si="55"/>
        <v>0</v>
      </c>
      <c r="O277" s="10">
        <f t="shared" si="51"/>
        <v>0</v>
      </c>
      <c r="P277">
        <f t="shared" si="50"/>
        <v>0.10099999999999999</v>
      </c>
    </row>
    <row r="278" spans="1:16" hidden="1" x14ac:dyDescent="0.25">
      <c r="A278" s="10" t="s">
        <v>163</v>
      </c>
      <c r="B278" s="10" t="s">
        <v>170</v>
      </c>
      <c r="C278" s="10" t="s">
        <v>21</v>
      </c>
      <c r="D278" s="10">
        <v>16</v>
      </c>
      <c r="E278" s="19">
        <v>14.9</v>
      </c>
      <c r="F278" s="10">
        <v>0.10695187165775401</v>
      </c>
      <c r="G278" s="10" t="s">
        <v>26</v>
      </c>
      <c r="H278" s="10"/>
      <c r="I278" s="10">
        <v>14.9</v>
      </c>
      <c r="J278" s="13" t="s">
        <v>70</v>
      </c>
      <c r="K278" s="10">
        <f t="shared" si="52"/>
        <v>2.1390374331550803E-3</v>
      </c>
      <c r="L278" s="10">
        <f t="shared" si="53"/>
        <v>9.6256684491978606E-2</v>
      </c>
      <c r="M278" s="10">
        <f t="shared" si="54"/>
        <v>8.5561497326203211E-3</v>
      </c>
      <c r="N278" s="10">
        <f t="shared" si="55"/>
        <v>0.10695187165775401</v>
      </c>
      <c r="O278" s="10">
        <f t="shared" si="51"/>
        <v>0.10695187165775401</v>
      </c>
      <c r="P278">
        <f t="shared" ref="P278:P341" si="56">I278/100</f>
        <v>0.14899999999999999</v>
      </c>
    </row>
    <row r="279" spans="1:16" hidden="1" x14ac:dyDescent="0.25">
      <c r="A279" s="10" t="s">
        <v>163</v>
      </c>
      <c r="B279" s="10" t="s">
        <v>171</v>
      </c>
      <c r="C279" s="10" t="s">
        <v>21</v>
      </c>
      <c r="D279" s="10">
        <v>19</v>
      </c>
      <c r="E279" s="19" t="s">
        <v>234</v>
      </c>
      <c r="F279" s="10">
        <v>0.37267080745341613</v>
      </c>
      <c r="G279" s="10" t="s">
        <v>26</v>
      </c>
      <c r="H279" s="10"/>
      <c r="I279" s="10">
        <v>17.899999999999999</v>
      </c>
      <c r="J279" s="13" t="s">
        <v>70</v>
      </c>
      <c r="K279" s="10">
        <f t="shared" si="52"/>
        <v>7.4534161490683228E-3</v>
      </c>
      <c r="L279" s="10">
        <f t="shared" si="53"/>
        <v>0.3354037267080745</v>
      </c>
      <c r="M279" s="10">
        <f t="shared" si="54"/>
        <v>2.9813664596273291E-2</v>
      </c>
      <c r="N279" s="10">
        <f t="shared" si="55"/>
        <v>0.37267080745341613</v>
      </c>
      <c r="O279" s="10">
        <f t="shared" si="51"/>
        <v>0.37267080745341608</v>
      </c>
      <c r="P279">
        <f t="shared" si="56"/>
        <v>0.17899999999999999</v>
      </c>
    </row>
    <row r="280" spans="1:16" hidden="1" x14ac:dyDescent="0.25">
      <c r="A280" s="10" t="s">
        <v>163</v>
      </c>
      <c r="B280" s="10" t="s">
        <v>172</v>
      </c>
      <c r="C280" s="10" t="s">
        <v>21</v>
      </c>
      <c r="D280" s="10">
        <v>7</v>
      </c>
      <c r="E280" s="19" t="s">
        <v>235</v>
      </c>
      <c r="F280" s="10">
        <v>2.6968716289104639</v>
      </c>
      <c r="G280" s="10" t="s">
        <v>26</v>
      </c>
      <c r="H280" s="10"/>
      <c r="I280" s="10">
        <v>6.6</v>
      </c>
      <c r="J280" s="13" t="s">
        <v>70</v>
      </c>
      <c r="K280" s="10">
        <f t="shared" si="52"/>
        <v>5.3937432578209279E-2</v>
      </c>
      <c r="L280" s="10">
        <f t="shared" si="53"/>
        <v>2.4271844660194177</v>
      </c>
      <c r="M280" s="10">
        <f t="shared" si="54"/>
        <v>0.21574973031283712</v>
      </c>
      <c r="N280" s="10">
        <f t="shared" si="55"/>
        <v>2.6968716289104639</v>
      </c>
      <c r="O280" s="10">
        <f t="shared" si="51"/>
        <v>2.6968716289104639</v>
      </c>
      <c r="P280">
        <f t="shared" si="56"/>
        <v>6.6000000000000003E-2</v>
      </c>
    </row>
    <row r="281" spans="1:16" hidden="1" x14ac:dyDescent="0.25">
      <c r="A281" s="10" t="s">
        <v>163</v>
      </c>
      <c r="B281" s="10" t="s">
        <v>173</v>
      </c>
      <c r="C281" s="10" t="s">
        <v>21</v>
      </c>
      <c r="D281" s="10">
        <v>11</v>
      </c>
      <c r="E281" s="19" t="s">
        <v>236</v>
      </c>
      <c r="F281" s="10">
        <v>2.2075055187637966</v>
      </c>
      <c r="G281" s="10" t="s">
        <v>26</v>
      </c>
      <c r="H281" s="10"/>
      <c r="I281" s="10">
        <v>10.8</v>
      </c>
      <c r="J281" s="13" t="s">
        <v>70</v>
      </c>
      <c r="K281" s="10">
        <f t="shared" si="52"/>
        <v>4.4150110375275935E-2</v>
      </c>
      <c r="L281" s="10">
        <f t="shared" si="53"/>
        <v>1.9867549668874169</v>
      </c>
      <c r="M281" s="10">
        <f t="shared" si="54"/>
        <v>0.17660044150110374</v>
      </c>
      <c r="N281" s="10">
        <f t="shared" si="55"/>
        <v>2.2075055187637966</v>
      </c>
      <c r="O281" s="10">
        <f t="shared" si="51"/>
        <v>2.2075055187637966</v>
      </c>
      <c r="P281">
        <f t="shared" si="56"/>
        <v>0.10800000000000001</v>
      </c>
    </row>
    <row r="282" spans="1:16" hidden="1" x14ac:dyDescent="0.25">
      <c r="A282" s="10" t="s">
        <v>163</v>
      </c>
      <c r="B282" s="10" t="s">
        <v>174</v>
      </c>
      <c r="C282" s="10" t="s">
        <v>21</v>
      </c>
      <c r="D282" s="10">
        <v>11</v>
      </c>
      <c r="E282" s="19" t="s">
        <v>237</v>
      </c>
      <c r="F282" s="10">
        <v>0.11547344110854503</v>
      </c>
      <c r="G282" s="10" t="s">
        <v>26</v>
      </c>
      <c r="H282" s="10"/>
      <c r="I282" s="10">
        <v>10.3</v>
      </c>
      <c r="J282" s="13" t="s">
        <v>70</v>
      </c>
      <c r="K282" s="10">
        <f t="shared" si="52"/>
        <v>2.3094688221709007E-3</v>
      </c>
      <c r="L282" s="10">
        <f t="shared" si="53"/>
        <v>0.10392609699769052</v>
      </c>
      <c r="M282" s="10">
        <f t="shared" si="54"/>
        <v>9.2378752886836026E-3</v>
      </c>
      <c r="N282" s="10">
        <f t="shared" si="55"/>
        <v>0.11547344110854503</v>
      </c>
      <c r="O282" s="10">
        <f t="shared" si="51"/>
        <v>0.11547344110854502</v>
      </c>
      <c r="P282">
        <f t="shared" si="56"/>
        <v>0.10300000000000001</v>
      </c>
    </row>
    <row r="283" spans="1:16" hidden="1" x14ac:dyDescent="0.25">
      <c r="A283" s="10" t="s">
        <v>163</v>
      </c>
      <c r="B283" s="10" t="s">
        <v>175</v>
      </c>
      <c r="C283" s="10" t="s">
        <v>21</v>
      </c>
      <c r="D283" s="10">
        <v>8</v>
      </c>
      <c r="E283" s="19" t="s">
        <v>223</v>
      </c>
      <c r="F283" s="10">
        <v>0.77021822849807442</v>
      </c>
      <c r="G283" s="10" t="s">
        <v>26</v>
      </c>
      <c r="H283" s="10"/>
      <c r="I283" s="10">
        <v>7.7</v>
      </c>
      <c r="J283" s="13" t="s">
        <v>70</v>
      </c>
      <c r="K283" s="10">
        <f t="shared" si="52"/>
        <v>1.5404364569961488E-2</v>
      </c>
      <c r="L283" s="10">
        <f t="shared" si="53"/>
        <v>0.69319640564826701</v>
      </c>
      <c r="M283" s="10">
        <f t="shared" si="54"/>
        <v>6.1617458279845952E-2</v>
      </c>
      <c r="N283" s="10">
        <f t="shared" si="55"/>
        <v>0.77021822849807442</v>
      </c>
      <c r="O283" s="10">
        <f t="shared" si="51"/>
        <v>0.77021822849807453</v>
      </c>
      <c r="P283">
        <f t="shared" si="56"/>
        <v>7.6999999999999999E-2</v>
      </c>
    </row>
    <row r="284" spans="1:16" hidden="1" x14ac:dyDescent="0.25">
      <c r="A284" s="10" t="s">
        <v>163</v>
      </c>
      <c r="B284" s="10" t="s">
        <v>176</v>
      </c>
      <c r="C284" s="10" t="s">
        <v>21</v>
      </c>
      <c r="D284" s="10">
        <v>109</v>
      </c>
      <c r="E284" s="19" t="s">
        <v>238</v>
      </c>
      <c r="F284" s="10">
        <v>0</v>
      </c>
      <c r="G284" s="10" t="s">
        <v>26</v>
      </c>
      <c r="H284" s="10"/>
      <c r="I284" s="10">
        <v>100.6</v>
      </c>
      <c r="J284" s="13" t="s">
        <v>70</v>
      </c>
      <c r="K284" s="10">
        <f t="shared" si="52"/>
        <v>0</v>
      </c>
      <c r="L284" s="10">
        <f t="shared" si="53"/>
        <v>0</v>
      </c>
      <c r="M284" s="10">
        <f t="shared" si="54"/>
        <v>0</v>
      </c>
      <c r="N284" s="10">
        <f t="shared" si="55"/>
        <v>0</v>
      </c>
      <c r="O284" s="10">
        <f t="shared" si="51"/>
        <v>0</v>
      </c>
      <c r="P284">
        <f t="shared" si="56"/>
        <v>1.006</v>
      </c>
    </row>
    <row r="285" spans="1:16" hidden="1" x14ac:dyDescent="0.25">
      <c r="A285" s="10" t="s">
        <v>163</v>
      </c>
      <c r="B285" s="10" t="s">
        <v>176</v>
      </c>
      <c r="C285" s="10" t="s">
        <v>21</v>
      </c>
      <c r="D285" s="10">
        <v>109</v>
      </c>
      <c r="E285" s="19" t="s">
        <v>239</v>
      </c>
      <c r="F285" s="10">
        <v>0</v>
      </c>
      <c r="G285" s="10" t="s">
        <v>26</v>
      </c>
      <c r="H285" s="10"/>
      <c r="I285" s="10">
        <v>70.5</v>
      </c>
      <c r="J285" s="13" t="s">
        <v>70</v>
      </c>
      <c r="K285" s="10">
        <f t="shared" si="52"/>
        <v>0</v>
      </c>
      <c r="L285" s="10">
        <f t="shared" si="53"/>
        <v>0</v>
      </c>
      <c r="M285" s="10">
        <f t="shared" si="54"/>
        <v>0</v>
      </c>
      <c r="N285" s="10">
        <f t="shared" si="55"/>
        <v>0</v>
      </c>
      <c r="O285" s="10">
        <f t="shared" si="51"/>
        <v>0</v>
      </c>
      <c r="P285">
        <f t="shared" si="56"/>
        <v>0.70499999999999996</v>
      </c>
    </row>
    <row r="286" spans="1:16" hidden="1" x14ac:dyDescent="0.25">
      <c r="A286" s="10" t="s">
        <v>163</v>
      </c>
      <c r="B286" s="10" t="s">
        <v>177</v>
      </c>
      <c r="C286" s="10" t="s">
        <v>21</v>
      </c>
      <c r="D286" s="10">
        <v>109</v>
      </c>
      <c r="E286" s="19" t="s">
        <v>240</v>
      </c>
      <c r="F286" s="10">
        <v>0.5</v>
      </c>
      <c r="G286" s="10" t="s">
        <v>26</v>
      </c>
      <c r="H286" s="10"/>
      <c r="I286" s="10">
        <v>9.8000000000000007</v>
      </c>
      <c r="J286" s="13" t="s">
        <v>70</v>
      </c>
      <c r="K286" s="10">
        <f t="shared" si="52"/>
        <v>0.01</v>
      </c>
      <c r="L286" s="10">
        <f t="shared" si="53"/>
        <v>0.45</v>
      </c>
      <c r="M286" s="10">
        <f t="shared" si="54"/>
        <v>0.04</v>
      </c>
      <c r="N286" s="10">
        <f t="shared" si="55"/>
        <v>0.5</v>
      </c>
      <c r="O286" s="10">
        <f t="shared" si="51"/>
        <v>0.5</v>
      </c>
      <c r="P286">
        <f t="shared" si="56"/>
        <v>9.8000000000000004E-2</v>
      </c>
    </row>
    <row r="287" spans="1:16" hidden="1" x14ac:dyDescent="0.25">
      <c r="A287" s="10" t="s">
        <v>163</v>
      </c>
      <c r="B287" s="10" t="s">
        <v>178</v>
      </c>
      <c r="C287" s="10" t="s">
        <v>21</v>
      </c>
      <c r="D287" s="10">
        <v>101</v>
      </c>
      <c r="E287" s="19" t="s">
        <v>241</v>
      </c>
      <c r="F287" s="10">
        <v>0.1</v>
      </c>
      <c r="G287" s="10" t="s">
        <v>26</v>
      </c>
      <c r="H287" s="10"/>
      <c r="I287" s="10">
        <v>94.7</v>
      </c>
      <c r="J287" s="13" t="s">
        <v>70</v>
      </c>
      <c r="K287" s="10">
        <f t="shared" si="52"/>
        <v>2E-3</v>
      </c>
      <c r="L287" s="10">
        <f t="shared" si="53"/>
        <v>9.0000000000000011E-2</v>
      </c>
      <c r="M287" s="10">
        <f t="shared" si="54"/>
        <v>8.0000000000000002E-3</v>
      </c>
      <c r="N287" s="10">
        <f t="shared" si="55"/>
        <v>0.1</v>
      </c>
      <c r="O287" s="10">
        <f t="shared" si="51"/>
        <v>0.1</v>
      </c>
      <c r="P287">
        <f t="shared" si="56"/>
        <v>0.94700000000000006</v>
      </c>
    </row>
    <row r="288" spans="1:16" hidden="1" x14ac:dyDescent="0.25">
      <c r="A288" s="10" t="s">
        <v>163</v>
      </c>
      <c r="B288" s="10" t="s">
        <v>178</v>
      </c>
      <c r="C288" s="10" t="s">
        <v>21</v>
      </c>
      <c r="D288" s="10">
        <v>101</v>
      </c>
      <c r="E288" s="19" t="s">
        <v>242</v>
      </c>
      <c r="F288" s="10">
        <v>0</v>
      </c>
      <c r="G288" s="10" t="s">
        <v>26</v>
      </c>
      <c r="H288" s="10"/>
      <c r="I288" s="10">
        <v>63.7</v>
      </c>
      <c r="J288" s="13" t="s">
        <v>70</v>
      </c>
      <c r="K288" s="10">
        <f t="shared" si="52"/>
        <v>0</v>
      </c>
      <c r="L288" s="10">
        <f t="shared" si="53"/>
        <v>0</v>
      </c>
      <c r="M288" s="10">
        <f t="shared" si="54"/>
        <v>0</v>
      </c>
      <c r="N288" s="10">
        <f t="shared" si="55"/>
        <v>0</v>
      </c>
      <c r="O288" s="10">
        <f t="shared" si="51"/>
        <v>0</v>
      </c>
      <c r="P288">
        <f t="shared" si="56"/>
        <v>0.63700000000000001</v>
      </c>
    </row>
    <row r="289" spans="1:16" hidden="1" x14ac:dyDescent="0.25">
      <c r="A289" s="10" t="s">
        <v>163</v>
      </c>
      <c r="B289" s="10" t="s">
        <v>179</v>
      </c>
      <c r="C289" s="10" t="s">
        <v>21</v>
      </c>
      <c r="D289" s="10">
        <v>101</v>
      </c>
      <c r="E289" s="19" t="s">
        <v>243</v>
      </c>
      <c r="F289" s="10">
        <v>0.3</v>
      </c>
      <c r="G289" s="10" t="s">
        <v>26</v>
      </c>
      <c r="H289" s="10"/>
      <c r="I289" s="10">
        <v>6</v>
      </c>
      <c r="J289" s="13" t="s">
        <v>70</v>
      </c>
      <c r="K289" s="10">
        <f t="shared" si="52"/>
        <v>6.0000000000000001E-3</v>
      </c>
      <c r="L289" s="10">
        <f t="shared" si="53"/>
        <v>0.27</v>
      </c>
      <c r="M289" s="10">
        <f t="shared" si="54"/>
        <v>2.4E-2</v>
      </c>
      <c r="N289" s="10">
        <f t="shared" si="55"/>
        <v>0.3</v>
      </c>
      <c r="O289" s="10">
        <f t="shared" si="51"/>
        <v>0.30000000000000004</v>
      </c>
      <c r="P289">
        <f t="shared" si="56"/>
        <v>0.06</v>
      </c>
    </row>
    <row r="290" spans="1:16" hidden="1" x14ac:dyDescent="0.25">
      <c r="A290" s="10" t="s">
        <v>163</v>
      </c>
      <c r="B290" s="10" t="s">
        <v>180</v>
      </c>
      <c r="C290" s="10" t="s">
        <v>21</v>
      </c>
      <c r="D290" s="10">
        <v>82</v>
      </c>
      <c r="E290" s="19" t="s">
        <v>244</v>
      </c>
      <c r="F290" s="10">
        <v>0.1</v>
      </c>
      <c r="G290" s="10" t="s">
        <v>26</v>
      </c>
      <c r="H290" s="10"/>
      <c r="I290" s="10">
        <v>76.599999999999994</v>
      </c>
      <c r="J290" s="13" t="s">
        <v>70</v>
      </c>
      <c r="K290" s="10">
        <f t="shared" si="52"/>
        <v>2E-3</v>
      </c>
      <c r="L290" s="10">
        <f t="shared" si="53"/>
        <v>9.0000000000000011E-2</v>
      </c>
      <c r="M290" s="10">
        <f t="shared" si="54"/>
        <v>8.0000000000000002E-3</v>
      </c>
      <c r="N290" s="10">
        <f t="shared" si="55"/>
        <v>0.1</v>
      </c>
      <c r="O290" s="10">
        <f t="shared" si="51"/>
        <v>0.1</v>
      </c>
      <c r="P290">
        <f t="shared" si="56"/>
        <v>0.7659999999999999</v>
      </c>
    </row>
    <row r="291" spans="1:16" hidden="1" x14ac:dyDescent="0.25">
      <c r="A291" s="10" t="s">
        <v>163</v>
      </c>
      <c r="B291" s="10" t="s">
        <v>180</v>
      </c>
      <c r="C291" s="10" t="s">
        <v>21</v>
      </c>
      <c r="D291" s="10">
        <v>82</v>
      </c>
      <c r="E291" s="19" t="s">
        <v>224</v>
      </c>
      <c r="F291" s="10">
        <v>0.1</v>
      </c>
      <c r="G291" s="10" t="s">
        <v>26</v>
      </c>
      <c r="H291" s="10"/>
      <c r="I291" s="10">
        <v>67</v>
      </c>
      <c r="J291" s="13" t="s">
        <v>70</v>
      </c>
      <c r="K291" s="10">
        <f t="shared" si="52"/>
        <v>2E-3</v>
      </c>
      <c r="L291" s="10">
        <f t="shared" si="53"/>
        <v>9.0000000000000011E-2</v>
      </c>
      <c r="M291" s="10">
        <f t="shared" si="54"/>
        <v>8.0000000000000002E-3</v>
      </c>
      <c r="N291" s="10">
        <f t="shared" si="55"/>
        <v>0.1</v>
      </c>
      <c r="O291" s="10">
        <f t="shared" si="51"/>
        <v>0.1</v>
      </c>
      <c r="P291">
        <f t="shared" si="56"/>
        <v>0.67</v>
      </c>
    </row>
    <row r="292" spans="1:16" hidden="1" x14ac:dyDescent="0.25">
      <c r="A292" s="10" t="s">
        <v>163</v>
      </c>
      <c r="B292" s="10" t="s">
        <v>180</v>
      </c>
      <c r="C292" s="10" t="s">
        <v>21</v>
      </c>
      <c r="D292" s="10">
        <v>82</v>
      </c>
      <c r="E292" s="19" t="s">
        <v>245</v>
      </c>
      <c r="F292" s="10">
        <v>0.1</v>
      </c>
      <c r="G292" s="10" t="s">
        <v>26</v>
      </c>
      <c r="H292" s="10"/>
      <c r="I292" s="10">
        <v>6.7</v>
      </c>
      <c r="J292" s="13" t="s">
        <v>70</v>
      </c>
      <c r="K292" s="10">
        <f t="shared" si="52"/>
        <v>2E-3</v>
      </c>
      <c r="L292" s="10">
        <f t="shared" si="53"/>
        <v>9.0000000000000011E-2</v>
      </c>
      <c r="M292" s="10">
        <f t="shared" si="54"/>
        <v>8.0000000000000002E-3</v>
      </c>
      <c r="N292" s="10">
        <f t="shared" si="55"/>
        <v>0.1</v>
      </c>
      <c r="O292" s="10">
        <f t="shared" si="51"/>
        <v>0.1</v>
      </c>
      <c r="P292">
        <f t="shared" si="56"/>
        <v>6.7000000000000004E-2</v>
      </c>
    </row>
    <row r="293" spans="1:16" hidden="1" x14ac:dyDescent="0.25">
      <c r="A293" s="10" t="s">
        <v>163</v>
      </c>
      <c r="B293" s="10" t="s">
        <v>181</v>
      </c>
      <c r="C293" s="10" t="s">
        <v>21</v>
      </c>
      <c r="D293" s="10">
        <v>88</v>
      </c>
      <c r="E293" s="19" t="s">
        <v>246</v>
      </c>
      <c r="F293" s="10">
        <v>0.2</v>
      </c>
      <c r="G293" s="10" t="s">
        <v>26</v>
      </c>
      <c r="H293" s="10"/>
      <c r="I293" s="10">
        <v>80.5</v>
      </c>
      <c r="J293" s="13" t="s">
        <v>70</v>
      </c>
      <c r="K293" s="10">
        <f t="shared" si="52"/>
        <v>4.0000000000000001E-3</v>
      </c>
      <c r="L293" s="10">
        <f t="shared" si="53"/>
        <v>0.18000000000000002</v>
      </c>
      <c r="M293" s="10">
        <f t="shared" si="54"/>
        <v>1.6E-2</v>
      </c>
      <c r="N293" s="10">
        <f t="shared" si="55"/>
        <v>0.2</v>
      </c>
      <c r="O293" s="10">
        <f t="shared" si="51"/>
        <v>0.2</v>
      </c>
      <c r="P293">
        <f t="shared" si="56"/>
        <v>0.80500000000000005</v>
      </c>
    </row>
    <row r="294" spans="1:16" hidden="1" x14ac:dyDescent="0.25">
      <c r="A294" s="10" t="s">
        <v>163</v>
      </c>
      <c r="B294" s="10" t="s">
        <v>181</v>
      </c>
      <c r="C294" s="10" t="s">
        <v>21</v>
      </c>
      <c r="D294" s="10">
        <v>88</v>
      </c>
      <c r="E294" s="19" t="s">
        <v>247</v>
      </c>
      <c r="F294" s="10">
        <v>0.1</v>
      </c>
      <c r="G294" s="10" t="s">
        <v>26</v>
      </c>
      <c r="H294" s="10"/>
      <c r="I294" s="10">
        <v>62.1</v>
      </c>
      <c r="J294" s="13" t="s">
        <v>70</v>
      </c>
      <c r="K294" s="10">
        <f t="shared" si="52"/>
        <v>2E-3</v>
      </c>
      <c r="L294" s="10">
        <f t="shared" si="53"/>
        <v>9.0000000000000011E-2</v>
      </c>
      <c r="M294" s="10">
        <f t="shared" si="54"/>
        <v>8.0000000000000002E-3</v>
      </c>
      <c r="N294" s="10">
        <f t="shared" si="55"/>
        <v>0.1</v>
      </c>
      <c r="O294" s="10">
        <f t="shared" si="51"/>
        <v>0.1</v>
      </c>
      <c r="P294">
        <f t="shared" si="56"/>
        <v>0.621</v>
      </c>
    </row>
    <row r="295" spans="1:16" hidden="1" x14ac:dyDescent="0.25">
      <c r="A295" s="10" t="s">
        <v>163</v>
      </c>
      <c r="B295" s="10" t="s">
        <v>182</v>
      </c>
      <c r="C295" s="10" t="s">
        <v>21</v>
      </c>
      <c r="D295" s="10">
        <v>88</v>
      </c>
      <c r="E295" s="19" t="s">
        <v>248</v>
      </c>
      <c r="F295" s="10">
        <v>0</v>
      </c>
      <c r="G295" s="10" t="s">
        <v>26</v>
      </c>
      <c r="H295" s="10"/>
      <c r="I295" s="10">
        <v>4</v>
      </c>
      <c r="J295" s="13" t="s">
        <v>70</v>
      </c>
      <c r="K295" s="10">
        <f t="shared" si="52"/>
        <v>0</v>
      </c>
      <c r="L295" s="10">
        <f t="shared" si="53"/>
        <v>0</v>
      </c>
      <c r="M295" s="10">
        <f t="shared" si="54"/>
        <v>0</v>
      </c>
      <c r="N295" s="10">
        <f t="shared" si="55"/>
        <v>0</v>
      </c>
      <c r="O295" s="10">
        <f t="shared" si="51"/>
        <v>0</v>
      </c>
      <c r="P295">
        <f t="shared" si="56"/>
        <v>0.04</v>
      </c>
    </row>
    <row r="296" spans="1:16" hidden="1" x14ac:dyDescent="0.25">
      <c r="A296" s="10" t="s">
        <v>163</v>
      </c>
      <c r="B296" s="10" t="s">
        <v>183</v>
      </c>
      <c r="C296" s="10" t="s">
        <v>21</v>
      </c>
      <c r="D296" s="10">
        <v>33</v>
      </c>
      <c r="E296" s="19" t="s">
        <v>249</v>
      </c>
      <c r="F296" s="10">
        <v>0.2</v>
      </c>
      <c r="G296" s="10" t="s">
        <v>26</v>
      </c>
      <c r="H296" s="10"/>
      <c r="I296" s="10">
        <v>1.6</v>
      </c>
      <c r="J296" s="13" t="s">
        <v>70</v>
      </c>
      <c r="K296" s="10">
        <f t="shared" si="52"/>
        <v>4.0000000000000001E-3</v>
      </c>
      <c r="L296" s="10">
        <f t="shared" si="53"/>
        <v>0.18000000000000002</v>
      </c>
      <c r="M296" s="10">
        <f t="shared" si="54"/>
        <v>1.6E-2</v>
      </c>
      <c r="N296" s="10">
        <f t="shared" si="55"/>
        <v>0.2</v>
      </c>
      <c r="O296" s="10">
        <f t="shared" si="51"/>
        <v>0.2</v>
      </c>
      <c r="P296">
        <f t="shared" si="56"/>
        <v>1.6E-2</v>
      </c>
    </row>
    <row r="297" spans="1:16" hidden="1" x14ac:dyDescent="0.25">
      <c r="A297" s="10" t="s">
        <v>163</v>
      </c>
      <c r="B297" s="10" t="s">
        <v>184</v>
      </c>
      <c r="C297" s="10" t="s">
        <v>21</v>
      </c>
      <c r="D297" s="10">
        <v>31</v>
      </c>
      <c r="E297" s="19" t="s">
        <v>250</v>
      </c>
      <c r="F297" s="10">
        <v>0</v>
      </c>
      <c r="G297" s="10" t="s">
        <v>26</v>
      </c>
      <c r="H297" s="10"/>
      <c r="I297" s="10">
        <v>30</v>
      </c>
      <c r="J297" s="13" t="s">
        <v>70</v>
      </c>
      <c r="K297" s="10">
        <f t="shared" si="52"/>
        <v>0</v>
      </c>
      <c r="L297" s="10">
        <f t="shared" si="53"/>
        <v>0</v>
      </c>
      <c r="M297" s="10">
        <f t="shared" si="54"/>
        <v>0</v>
      </c>
      <c r="N297" s="10">
        <f t="shared" si="55"/>
        <v>0</v>
      </c>
      <c r="O297" s="10">
        <f t="shared" si="51"/>
        <v>0</v>
      </c>
      <c r="P297">
        <f t="shared" si="56"/>
        <v>0.3</v>
      </c>
    </row>
    <row r="298" spans="1:16" hidden="1" x14ac:dyDescent="0.25">
      <c r="A298" s="10" t="s">
        <v>163</v>
      </c>
      <c r="B298" s="10" t="s">
        <v>184</v>
      </c>
      <c r="C298" s="10" t="s">
        <v>21</v>
      </c>
      <c r="D298" s="10">
        <v>31</v>
      </c>
      <c r="E298" s="19" t="s">
        <v>251</v>
      </c>
      <c r="F298" s="10">
        <v>0.1</v>
      </c>
      <c r="G298" s="10" t="s">
        <v>26</v>
      </c>
      <c r="H298" s="10"/>
      <c r="I298" s="10">
        <v>10</v>
      </c>
      <c r="J298" s="13" t="s">
        <v>70</v>
      </c>
      <c r="K298" s="10">
        <f t="shared" si="52"/>
        <v>2E-3</v>
      </c>
      <c r="L298" s="10">
        <f t="shared" si="53"/>
        <v>9.0000000000000011E-2</v>
      </c>
      <c r="M298" s="10">
        <f t="shared" si="54"/>
        <v>8.0000000000000002E-3</v>
      </c>
      <c r="N298" s="10">
        <f t="shared" si="55"/>
        <v>0.1</v>
      </c>
      <c r="O298" s="10">
        <f t="shared" si="51"/>
        <v>0.1</v>
      </c>
      <c r="P298">
        <f t="shared" si="56"/>
        <v>0.1</v>
      </c>
    </row>
    <row r="299" spans="1:16" hidden="1" x14ac:dyDescent="0.25">
      <c r="A299" s="10" t="s">
        <v>163</v>
      </c>
      <c r="B299" s="10" t="s">
        <v>185</v>
      </c>
      <c r="C299" s="10" t="s">
        <v>21</v>
      </c>
      <c r="D299" s="10">
        <v>47</v>
      </c>
      <c r="E299" s="19" t="s">
        <v>251</v>
      </c>
      <c r="F299" s="10">
        <v>0</v>
      </c>
      <c r="G299" s="10" t="s">
        <v>26</v>
      </c>
      <c r="H299" s="10"/>
      <c r="I299" s="10">
        <v>10</v>
      </c>
      <c r="J299" s="13" t="s">
        <v>70</v>
      </c>
      <c r="K299" s="10">
        <f t="shared" si="52"/>
        <v>0</v>
      </c>
      <c r="L299" s="10">
        <f t="shared" si="53"/>
        <v>0</v>
      </c>
      <c r="M299" s="10">
        <f t="shared" si="54"/>
        <v>0</v>
      </c>
      <c r="N299" s="10">
        <f t="shared" si="55"/>
        <v>0</v>
      </c>
      <c r="O299" s="10">
        <f t="shared" si="51"/>
        <v>0</v>
      </c>
      <c r="P299">
        <f t="shared" si="56"/>
        <v>0.1</v>
      </c>
    </row>
    <row r="300" spans="1:16" hidden="1" x14ac:dyDescent="0.25">
      <c r="A300" s="10" t="s">
        <v>163</v>
      </c>
      <c r="B300" s="10" t="s">
        <v>185</v>
      </c>
      <c r="C300" s="10" t="s">
        <v>21</v>
      </c>
      <c r="D300" s="10">
        <v>47</v>
      </c>
      <c r="E300" s="19" t="s">
        <v>252</v>
      </c>
      <c r="F300" s="10">
        <v>0</v>
      </c>
      <c r="G300" s="10" t="s">
        <v>26</v>
      </c>
      <c r="H300" s="10"/>
      <c r="I300" s="10">
        <v>44.7</v>
      </c>
      <c r="J300" s="13" t="s">
        <v>70</v>
      </c>
      <c r="K300" s="10">
        <f t="shared" si="52"/>
        <v>0</v>
      </c>
      <c r="L300" s="10">
        <f t="shared" si="53"/>
        <v>0</v>
      </c>
      <c r="M300" s="10">
        <f t="shared" si="54"/>
        <v>0</v>
      </c>
      <c r="N300" s="10">
        <f t="shared" si="55"/>
        <v>0</v>
      </c>
      <c r="O300" s="10">
        <f t="shared" si="51"/>
        <v>0</v>
      </c>
      <c r="P300">
        <f t="shared" si="56"/>
        <v>0.44700000000000001</v>
      </c>
    </row>
    <row r="301" spans="1:16" hidden="1" x14ac:dyDescent="0.25">
      <c r="A301" s="10" t="s">
        <v>163</v>
      </c>
      <c r="B301" s="10" t="s">
        <v>186</v>
      </c>
      <c r="C301" s="10" t="s">
        <v>21</v>
      </c>
      <c r="D301" s="10">
        <v>67</v>
      </c>
      <c r="E301" s="19" t="s">
        <v>253</v>
      </c>
      <c r="F301" s="10">
        <v>0.1</v>
      </c>
      <c r="G301" s="10" t="s">
        <v>26</v>
      </c>
      <c r="H301" s="10"/>
      <c r="I301" s="10">
        <v>61</v>
      </c>
      <c r="J301" s="13" t="s">
        <v>70</v>
      </c>
      <c r="K301" s="10">
        <f t="shared" si="52"/>
        <v>2E-3</v>
      </c>
      <c r="L301" s="10">
        <f t="shared" si="53"/>
        <v>9.0000000000000011E-2</v>
      </c>
      <c r="M301" s="10">
        <f t="shared" si="54"/>
        <v>8.0000000000000002E-3</v>
      </c>
      <c r="N301" s="10">
        <f t="shared" si="55"/>
        <v>0.1</v>
      </c>
      <c r="O301" s="10">
        <f t="shared" si="51"/>
        <v>0.1</v>
      </c>
      <c r="P301">
        <f t="shared" si="56"/>
        <v>0.61</v>
      </c>
    </row>
    <row r="302" spans="1:16" hidden="1" x14ac:dyDescent="0.25">
      <c r="A302" s="10" t="s">
        <v>163</v>
      </c>
      <c r="B302" s="10" t="s">
        <v>186</v>
      </c>
      <c r="C302" s="10" t="s">
        <v>21</v>
      </c>
      <c r="D302" s="10">
        <v>67</v>
      </c>
      <c r="E302" s="19" t="s">
        <v>254</v>
      </c>
      <c r="F302" s="10">
        <v>0</v>
      </c>
      <c r="G302" s="10" t="s">
        <v>26</v>
      </c>
      <c r="H302" s="10"/>
      <c r="I302" s="10">
        <v>10.6</v>
      </c>
      <c r="J302" s="13" t="s">
        <v>70</v>
      </c>
      <c r="K302" s="10">
        <f t="shared" si="52"/>
        <v>0</v>
      </c>
      <c r="L302" s="10">
        <f t="shared" si="53"/>
        <v>0</v>
      </c>
      <c r="M302" s="10">
        <f t="shared" si="54"/>
        <v>0</v>
      </c>
      <c r="N302" s="10">
        <f t="shared" si="55"/>
        <v>0</v>
      </c>
      <c r="O302" s="10">
        <f t="shared" si="51"/>
        <v>0</v>
      </c>
      <c r="P302">
        <f t="shared" si="56"/>
        <v>0.106</v>
      </c>
    </row>
    <row r="303" spans="1:16" hidden="1" x14ac:dyDescent="0.25">
      <c r="A303" s="10" t="s">
        <v>163</v>
      </c>
      <c r="B303" s="10" t="s">
        <v>187</v>
      </c>
      <c r="C303" s="10" t="s">
        <v>21</v>
      </c>
      <c r="D303" s="10">
        <v>46</v>
      </c>
      <c r="E303" s="19" t="s">
        <v>255</v>
      </c>
      <c r="F303" s="10">
        <v>0.1</v>
      </c>
      <c r="G303" s="10" t="s">
        <v>26</v>
      </c>
      <c r="H303" s="10"/>
      <c r="I303" s="10">
        <v>40.5</v>
      </c>
      <c r="J303" s="13" t="s">
        <v>70</v>
      </c>
      <c r="K303" s="10">
        <f t="shared" si="52"/>
        <v>2E-3</v>
      </c>
      <c r="L303" s="10">
        <f t="shared" si="53"/>
        <v>9.0000000000000011E-2</v>
      </c>
      <c r="M303" s="10">
        <f t="shared" si="54"/>
        <v>8.0000000000000002E-3</v>
      </c>
      <c r="N303" s="10">
        <f t="shared" si="55"/>
        <v>0.1</v>
      </c>
      <c r="O303" s="10">
        <f t="shared" si="51"/>
        <v>0.1</v>
      </c>
      <c r="P303">
        <f t="shared" si="56"/>
        <v>0.40500000000000003</v>
      </c>
    </row>
    <row r="304" spans="1:16" hidden="1" x14ac:dyDescent="0.25">
      <c r="A304" s="10" t="s">
        <v>163</v>
      </c>
      <c r="B304" s="10" t="s">
        <v>187</v>
      </c>
      <c r="C304" s="10" t="s">
        <v>21</v>
      </c>
      <c r="D304" s="10">
        <v>46</v>
      </c>
      <c r="E304" s="19" t="s">
        <v>256</v>
      </c>
      <c r="F304" s="10">
        <v>0</v>
      </c>
      <c r="G304" s="10" t="s">
        <v>26</v>
      </c>
      <c r="H304" s="10"/>
      <c r="I304" s="10">
        <v>10.5</v>
      </c>
      <c r="J304" s="13" t="s">
        <v>70</v>
      </c>
      <c r="K304" s="10">
        <f t="shared" ref="K304:K335" si="57">0.02*N304</f>
        <v>0</v>
      </c>
      <c r="L304" s="10">
        <f t="shared" ref="L304:L335" si="58">0.9*N304</f>
        <v>0</v>
      </c>
      <c r="M304" s="10">
        <f t="shared" ref="M304:M335" si="59">0.08*N304</f>
        <v>0</v>
      </c>
      <c r="N304" s="10">
        <f t="shared" si="55"/>
        <v>0</v>
      </c>
      <c r="O304" s="10">
        <f t="shared" si="51"/>
        <v>0</v>
      </c>
      <c r="P304">
        <f t="shared" si="56"/>
        <v>0.105</v>
      </c>
    </row>
    <row r="305" spans="1:16" hidden="1" x14ac:dyDescent="0.25">
      <c r="A305" s="10" t="s">
        <v>163</v>
      </c>
      <c r="B305" s="10" t="s">
        <v>188</v>
      </c>
      <c r="C305" s="10" t="s">
        <v>21</v>
      </c>
      <c r="D305" s="10">
        <v>81</v>
      </c>
      <c r="E305" s="19" t="s">
        <v>227</v>
      </c>
      <c r="F305" s="10">
        <v>0.3</v>
      </c>
      <c r="G305" s="10" t="s">
        <v>26</v>
      </c>
      <c r="H305" s="10"/>
      <c r="I305" s="10">
        <v>77</v>
      </c>
      <c r="J305" s="13" t="s">
        <v>70</v>
      </c>
      <c r="K305" s="10">
        <f t="shared" si="57"/>
        <v>6.0000000000000001E-3</v>
      </c>
      <c r="L305" s="10">
        <f t="shared" si="58"/>
        <v>0.27</v>
      </c>
      <c r="M305" s="10">
        <f t="shared" si="59"/>
        <v>2.4E-2</v>
      </c>
      <c r="N305" s="10">
        <f t="shared" si="55"/>
        <v>0.3</v>
      </c>
      <c r="O305" s="10">
        <f t="shared" si="51"/>
        <v>0.30000000000000004</v>
      </c>
      <c r="P305">
        <f t="shared" si="56"/>
        <v>0.77</v>
      </c>
    </row>
    <row r="306" spans="1:16" hidden="1" x14ac:dyDescent="0.25">
      <c r="A306" s="10" t="s">
        <v>163</v>
      </c>
      <c r="B306" s="10" t="s">
        <v>188</v>
      </c>
      <c r="C306" s="10" t="s">
        <v>21</v>
      </c>
      <c r="D306" s="10">
        <v>81</v>
      </c>
      <c r="E306" s="19" t="s">
        <v>251</v>
      </c>
      <c r="F306" s="10">
        <v>0</v>
      </c>
      <c r="G306" s="10" t="s">
        <v>26</v>
      </c>
      <c r="H306" s="10"/>
      <c r="I306" s="10">
        <v>10</v>
      </c>
      <c r="J306" s="13" t="s">
        <v>70</v>
      </c>
      <c r="K306" s="10">
        <f t="shared" si="57"/>
        <v>0</v>
      </c>
      <c r="L306" s="10">
        <f t="shared" si="58"/>
        <v>0</v>
      </c>
      <c r="M306" s="10">
        <f t="shared" si="59"/>
        <v>0</v>
      </c>
      <c r="N306" s="10">
        <f t="shared" si="55"/>
        <v>0</v>
      </c>
      <c r="O306" s="10">
        <f t="shared" si="51"/>
        <v>0</v>
      </c>
      <c r="P306">
        <f t="shared" si="56"/>
        <v>0.1</v>
      </c>
    </row>
    <row r="307" spans="1:16" hidden="1" x14ac:dyDescent="0.25">
      <c r="A307" s="10" t="s">
        <v>163</v>
      </c>
      <c r="B307" s="10" t="s">
        <v>189</v>
      </c>
      <c r="C307" s="10" t="s">
        <v>21</v>
      </c>
      <c r="D307" s="10">
        <v>107</v>
      </c>
      <c r="E307" s="19" t="s">
        <v>257</v>
      </c>
      <c r="F307" s="10">
        <v>0</v>
      </c>
      <c r="G307" s="10" t="s">
        <v>26</v>
      </c>
      <c r="H307" s="10"/>
      <c r="I307" s="10">
        <v>103.4</v>
      </c>
      <c r="J307" s="13" t="s">
        <v>70</v>
      </c>
      <c r="K307" s="10">
        <f t="shared" si="57"/>
        <v>0</v>
      </c>
      <c r="L307" s="10">
        <f t="shared" si="58"/>
        <v>0</v>
      </c>
      <c r="M307" s="10">
        <f t="shared" si="59"/>
        <v>0</v>
      </c>
      <c r="N307" s="10">
        <f t="shared" si="55"/>
        <v>0</v>
      </c>
      <c r="O307" s="10">
        <f t="shared" si="51"/>
        <v>0</v>
      </c>
      <c r="P307">
        <f t="shared" si="56"/>
        <v>1.034</v>
      </c>
    </row>
    <row r="308" spans="1:16" hidden="1" x14ac:dyDescent="0.25">
      <c r="A308" s="10" t="s">
        <v>163</v>
      </c>
      <c r="B308" s="10" t="s">
        <v>189</v>
      </c>
      <c r="C308" s="10" t="s">
        <v>21</v>
      </c>
      <c r="D308" s="10">
        <v>107</v>
      </c>
      <c r="E308" s="19" t="s">
        <v>224</v>
      </c>
      <c r="F308" s="10">
        <v>0</v>
      </c>
      <c r="G308" s="10" t="s">
        <v>26</v>
      </c>
      <c r="H308" s="10"/>
      <c r="I308" s="10">
        <v>67</v>
      </c>
      <c r="J308" s="13" t="s">
        <v>70</v>
      </c>
      <c r="K308" s="10">
        <f t="shared" si="57"/>
        <v>0</v>
      </c>
      <c r="L308" s="10">
        <f t="shared" si="58"/>
        <v>0</v>
      </c>
      <c r="M308" s="10">
        <f t="shared" si="59"/>
        <v>0</v>
      </c>
      <c r="N308" s="10">
        <f t="shared" si="55"/>
        <v>0</v>
      </c>
      <c r="O308" s="10">
        <f t="shared" si="51"/>
        <v>0</v>
      </c>
      <c r="P308">
        <f t="shared" si="56"/>
        <v>0.67</v>
      </c>
    </row>
    <row r="309" spans="1:16" hidden="1" x14ac:dyDescent="0.25">
      <c r="A309" s="10" t="s">
        <v>163</v>
      </c>
      <c r="B309" s="10" t="s">
        <v>190</v>
      </c>
      <c r="C309" s="10" t="s">
        <v>21</v>
      </c>
      <c r="D309" s="10">
        <v>107</v>
      </c>
      <c r="E309" s="19" t="s">
        <v>258</v>
      </c>
      <c r="F309" s="10">
        <v>0.1</v>
      </c>
      <c r="G309" s="10" t="s">
        <v>26</v>
      </c>
      <c r="H309" s="10"/>
      <c r="I309" s="10">
        <v>2.8</v>
      </c>
      <c r="J309" s="13" t="s">
        <v>70</v>
      </c>
      <c r="K309" s="10">
        <f t="shared" si="57"/>
        <v>2E-3</v>
      </c>
      <c r="L309" s="10">
        <f t="shared" si="58"/>
        <v>9.0000000000000011E-2</v>
      </c>
      <c r="M309" s="10">
        <f t="shared" si="59"/>
        <v>8.0000000000000002E-3</v>
      </c>
      <c r="N309" s="10">
        <f t="shared" si="55"/>
        <v>0.1</v>
      </c>
      <c r="O309" s="10">
        <f t="shared" si="51"/>
        <v>0.1</v>
      </c>
      <c r="P309">
        <f t="shared" si="56"/>
        <v>2.7999999999999997E-2</v>
      </c>
    </row>
    <row r="310" spans="1:16" hidden="1" x14ac:dyDescent="0.25">
      <c r="A310" s="10" t="s">
        <v>163</v>
      </c>
      <c r="B310" s="10" t="s">
        <v>191</v>
      </c>
      <c r="C310" s="10" t="s">
        <v>21</v>
      </c>
      <c r="D310" s="10">
        <v>108</v>
      </c>
      <c r="E310" s="19" t="s">
        <v>259</v>
      </c>
      <c r="F310" s="10">
        <v>0</v>
      </c>
      <c r="G310" s="10" t="s">
        <v>26</v>
      </c>
      <c r="H310" s="10"/>
      <c r="I310" s="10">
        <v>102.5</v>
      </c>
      <c r="J310" s="13" t="s">
        <v>70</v>
      </c>
      <c r="K310" s="10">
        <f t="shared" si="57"/>
        <v>0</v>
      </c>
      <c r="L310" s="10">
        <f t="shared" si="58"/>
        <v>0</v>
      </c>
      <c r="M310" s="10">
        <f t="shared" si="59"/>
        <v>0</v>
      </c>
      <c r="N310" s="10">
        <f t="shared" si="55"/>
        <v>0</v>
      </c>
      <c r="O310" s="10">
        <f t="shared" si="51"/>
        <v>0</v>
      </c>
      <c r="P310">
        <f t="shared" si="56"/>
        <v>1.0249999999999999</v>
      </c>
    </row>
    <row r="311" spans="1:16" hidden="1" x14ac:dyDescent="0.25">
      <c r="A311" s="10" t="s">
        <v>163</v>
      </c>
      <c r="B311" s="10" t="s">
        <v>191</v>
      </c>
      <c r="C311" s="10" t="s">
        <v>21</v>
      </c>
      <c r="D311" s="10">
        <v>108</v>
      </c>
      <c r="E311" s="19" t="s">
        <v>260</v>
      </c>
      <c r="F311" s="10">
        <v>0.2</v>
      </c>
      <c r="G311" s="10" t="s">
        <v>26</v>
      </c>
      <c r="H311" s="10"/>
      <c r="I311" s="10">
        <v>1.5</v>
      </c>
      <c r="J311" s="13" t="s">
        <v>70</v>
      </c>
      <c r="K311" s="10">
        <f t="shared" si="57"/>
        <v>4.0000000000000001E-3</v>
      </c>
      <c r="L311" s="10">
        <f t="shared" si="58"/>
        <v>0.18000000000000002</v>
      </c>
      <c r="M311" s="10">
        <f t="shared" si="59"/>
        <v>1.6E-2</v>
      </c>
      <c r="N311" s="10">
        <f t="shared" si="55"/>
        <v>0.2</v>
      </c>
      <c r="O311" s="10">
        <f t="shared" si="51"/>
        <v>0.2</v>
      </c>
      <c r="P311">
        <f t="shared" si="56"/>
        <v>1.4999999999999999E-2</v>
      </c>
    </row>
    <row r="312" spans="1:16" hidden="1" x14ac:dyDescent="0.25">
      <c r="A312" s="10" t="s">
        <v>163</v>
      </c>
      <c r="B312" s="10" t="s">
        <v>192</v>
      </c>
      <c r="C312" s="10" t="s">
        <v>21</v>
      </c>
      <c r="D312" s="10">
        <v>67</v>
      </c>
      <c r="E312" s="19" t="s">
        <v>261</v>
      </c>
      <c r="F312" s="10">
        <v>0.2</v>
      </c>
      <c r="G312" s="10" t="s">
        <v>26</v>
      </c>
      <c r="H312" s="10"/>
      <c r="I312" s="10">
        <v>64</v>
      </c>
      <c r="J312" s="13" t="s">
        <v>70</v>
      </c>
      <c r="K312" s="10">
        <f t="shared" si="57"/>
        <v>4.0000000000000001E-3</v>
      </c>
      <c r="L312" s="10">
        <f t="shared" si="58"/>
        <v>0.18000000000000002</v>
      </c>
      <c r="M312" s="10">
        <f t="shared" si="59"/>
        <v>1.6E-2</v>
      </c>
      <c r="N312" s="10">
        <f t="shared" si="55"/>
        <v>0.2</v>
      </c>
      <c r="O312" s="10">
        <f t="shared" si="51"/>
        <v>0.2</v>
      </c>
      <c r="P312">
        <f t="shared" si="56"/>
        <v>0.64</v>
      </c>
    </row>
    <row r="313" spans="1:16" hidden="1" x14ac:dyDescent="0.25">
      <c r="A313" s="10" t="s">
        <v>163</v>
      </c>
      <c r="B313" s="10" t="s">
        <v>192</v>
      </c>
      <c r="C313" s="10" t="s">
        <v>21</v>
      </c>
      <c r="D313" s="10">
        <v>67</v>
      </c>
      <c r="E313" s="19" t="s">
        <v>262</v>
      </c>
      <c r="F313" s="10">
        <v>0.5</v>
      </c>
      <c r="G313" s="10" t="s">
        <v>26</v>
      </c>
      <c r="H313" s="10"/>
      <c r="I313" s="10">
        <v>1.8</v>
      </c>
      <c r="J313" s="13" t="s">
        <v>70</v>
      </c>
      <c r="K313" s="10">
        <f t="shared" si="57"/>
        <v>0.01</v>
      </c>
      <c r="L313" s="10">
        <f t="shared" si="58"/>
        <v>0.45</v>
      </c>
      <c r="M313" s="10">
        <f t="shared" si="59"/>
        <v>0.04</v>
      </c>
      <c r="N313" s="10">
        <f t="shared" si="55"/>
        <v>0.5</v>
      </c>
      <c r="O313" s="10">
        <f t="shared" si="51"/>
        <v>0.5</v>
      </c>
      <c r="P313">
        <f t="shared" si="56"/>
        <v>1.8000000000000002E-2</v>
      </c>
    </row>
    <row r="314" spans="1:16" hidden="1" x14ac:dyDescent="0.25">
      <c r="A314" s="10" t="s">
        <v>163</v>
      </c>
      <c r="B314" s="10" t="s">
        <v>193</v>
      </c>
      <c r="C314" s="10" t="s">
        <v>21</v>
      </c>
      <c r="D314" s="10">
        <v>90</v>
      </c>
      <c r="E314" s="19" t="s">
        <v>263</v>
      </c>
      <c r="F314" s="10">
        <v>0.3</v>
      </c>
      <c r="G314" s="10" t="s">
        <v>26</v>
      </c>
      <c r="H314" s="10"/>
      <c r="I314" s="10">
        <v>85.3</v>
      </c>
      <c r="J314" s="13" t="s">
        <v>70</v>
      </c>
      <c r="K314" s="10">
        <f t="shared" si="57"/>
        <v>6.0000000000000001E-3</v>
      </c>
      <c r="L314" s="10">
        <f t="shared" si="58"/>
        <v>0.27</v>
      </c>
      <c r="M314" s="10">
        <f t="shared" si="59"/>
        <v>2.4E-2</v>
      </c>
      <c r="N314" s="10">
        <f t="shared" si="55"/>
        <v>0.3</v>
      </c>
      <c r="O314" s="10">
        <f t="shared" si="51"/>
        <v>0.30000000000000004</v>
      </c>
      <c r="P314">
        <f t="shared" si="56"/>
        <v>0.85299999999999998</v>
      </c>
    </row>
    <row r="315" spans="1:16" hidden="1" x14ac:dyDescent="0.25">
      <c r="A315" s="10" t="s">
        <v>163</v>
      </c>
      <c r="B315" s="10" t="s">
        <v>193</v>
      </c>
      <c r="C315" s="10" t="s">
        <v>21</v>
      </c>
      <c r="D315" s="10">
        <v>90</v>
      </c>
      <c r="E315" s="19" t="s">
        <v>264</v>
      </c>
      <c r="F315" s="10">
        <v>0</v>
      </c>
      <c r="G315" s="10" t="s">
        <v>26</v>
      </c>
      <c r="H315" s="10"/>
      <c r="I315" s="10">
        <v>1.3</v>
      </c>
      <c r="J315" s="13" t="s">
        <v>70</v>
      </c>
      <c r="K315" s="10">
        <f t="shared" si="57"/>
        <v>0</v>
      </c>
      <c r="L315" s="10">
        <f t="shared" si="58"/>
        <v>0</v>
      </c>
      <c r="M315" s="10">
        <f t="shared" si="59"/>
        <v>0</v>
      </c>
      <c r="N315" s="10">
        <f t="shared" si="55"/>
        <v>0</v>
      </c>
      <c r="O315" s="10">
        <f t="shared" si="51"/>
        <v>0</v>
      </c>
      <c r="P315">
        <f t="shared" si="56"/>
        <v>1.3000000000000001E-2</v>
      </c>
    </row>
    <row r="316" spans="1:16" hidden="1" x14ac:dyDescent="0.25">
      <c r="A316" s="10" t="s">
        <v>163</v>
      </c>
      <c r="B316" s="10" t="s">
        <v>194</v>
      </c>
      <c r="C316" s="10" t="s">
        <v>21</v>
      </c>
      <c r="D316" s="10">
        <v>90</v>
      </c>
      <c r="E316" s="19" t="s">
        <v>265</v>
      </c>
      <c r="F316" s="10">
        <v>0.13333333333333333</v>
      </c>
      <c r="G316" s="10" t="s">
        <v>26</v>
      </c>
      <c r="H316" s="10"/>
      <c r="I316" s="10">
        <v>90</v>
      </c>
      <c r="J316" s="13" t="s">
        <v>70</v>
      </c>
      <c r="K316" s="10">
        <f t="shared" si="57"/>
        <v>2.6666666666666666E-3</v>
      </c>
      <c r="L316" s="10">
        <f t="shared" si="58"/>
        <v>0.12</v>
      </c>
      <c r="M316" s="10">
        <f t="shared" si="59"/>
        <v>1.0666666666666666E-2</v>
      </c>
      <c r="N316" s="10">
        <f t="shared" si="55"/>
        <v>0.13333333333333333</v>
      </c>
      <c r="O316" s="10">
        <f t="shared" si="51"/>
        <v>0.13333333333333333</v>
      </c>
      <c r="P316">
        <f t="shared" si="56"/>
        <v>0.9</v>
      </c>
    </row>
    <row r="317" spans="1:16" hidden="1" x14ac:dyDescent="0.25">
      <c r="A317" s="10" t="s">
        <v>163</v>
      </c>
      <c r="B317" s="10" t="s">
        <v>195</v>
      </c>
      <c r="C317" s="10" t="s">
        <v>21</v>
      </c>
      <c r="D317" s="10">
        <v>46</v>
      </c>
      <c r="E317" s="19" t="s">
        <v>266</v>
      </c>
      <c r="F317" s="10">
        <v>0.2</v>
      </c>
      <c r="G317" s="10" t="s">
        <v>26</v>
      </c>
      <c r="H317" s="10"/>
      <c r="I317" s="10">
        <v>42.5</v>
      </c>
      <c r="J317" s="13" t="s">
        <v>70</v>
      </c>
      <c r="K317" s="10">
        <f t="shared" si="57"/>
        <v>4.0000000000000001E-3</v>
      </c>
      <c r="L317" s="10">
        <f t="shared" si="58"/>
        <v>0.18000000000000002</v>
      </c>
      <c r="M317" s="10">
        <f t="shared" si="59"/>
        <v>1.6E-2</v>
      </c>
      <c r="N317" s="10">
        <f t="shared" si="55"/>
        <v>0.2</v>
      </c>
      <c r="O317" s="10">
        <f t="shared" si="51"/>
        <v>0.2</v>
      </c>
      <c r="P317">
        <f t="shared" si="56"/>
        <v>0.42499999999999999</v>
      </c>
    </row>
    <row r="318" spans="1:16" hidden="1" x14ac:dyDescent="0.25">
      <c r="A318" s="10" t="s">
        <v>163</v>
      </c>
      <c r="B318" s="10" t="s">
        <v>195</v>
      </c>
      <c r="C318" s="10" t="s">
        <v>21</v>
      </c>
      <c r="D318" s="10">
        <v>46</v>
      </c>
      <c r="E318" s="19" t="s">
        <v>267</v>
      </c>
      <c r="F318" s="10">
        <v>0.2</v>
      </c>
      <c r="G318" s="10" t="s">
        <v>26</v>
      </c>
      <c r="H318" s="10"/>
      <c r="I318" s="10">
        <v>1.7</v>
      </c>
      <c r="J318" s="13" t="s">
        <v>70</v>
      </c>
      <c r="K318" s="10">
        <f t="shared" si="57"/>
        <v>4.0000000000000001E-3</v>
      </c>
      <c r="L318" s="10">
        <f t="shared" si="58"/>
        <v>0.18000000000000002</v>
      </c>
      <c r="M318" s="10">
        <f t="shared" si="59"/>
        <v>1.6E-2</v>
      </c>
      <c r="N318" s="10">
        <f t="shared" si="55"/>
        <v>0.2</v>
      </c>
      <c r="O318" s="10">
        <f t="shared" si="51"/>
        <v>0.2</v>
      </c>
      <c r="P318">
        <f t="shared" si="56"/>
        <v>1.7000000000000001E-2</v>
      </c>
    </row>
    <row r="319" spans="1:16" hidden="1" x14ac:dyDescent="0.25">
      <c r="A319" s="10" t="s">
        <v>163</v>
      </c>
      <c r="B319" s="10" t="s">
        <v>196</v>
      </c>
      <c r="C319" s="10" t="s">
        <v>21</v>
      </c>
      <c r="D319" s="10">
        <v>46</v>
      </c>
      <c r="E319" s="19" t="s">
        <v>225</v>
      </c>
      <c r="F319" s="10">
        <v>0.1</v>
      </c>
      <c r="G319" s="10" t="s">
        <v>26</v>
      </c>
      <c r="H319" s="10"/>
      <c r="I319" s="10">
        <v>46</v>
      </c>
      <c r="J319" s="13" t="s">
        <v>70</v>
      </c>
      <c r="K319" s="10">
        <f t="shared" si="57"/>
        <v>2E-3</v>
      </c>
      <c r="L319" s="10">
        <f t="shared" si="58"/>
        <v>9.0000000000000011E-2</v>
      </c>
      <c r="M319" s="10">
        <f t="shared" si="59"/>
        <v>8.0000000000000002E-3</v>
      </c>
      <c r="N319" s="10">
        <f t="shared" si="55"/>
        <v>0.1</v>
      </c>
      <c r="O319" s="10">
        <f t="shared" si="51"/>
        <v>0.1</v>
      </c>
      <c r="P319">
        <f t="shared" si="56"/>
        <v>0.46</v>
      </c>
    </row>
    <row r="320" spans="1:16" hidden="1" x14ac:dyDescent="0.25">
      <c r="A320" s="10" t="s">
        <v>163</v>
      </c>
      <c r="B320" s="10" t="s">
        <v>197</v>
      </c>
      <c r="C320" s="10" t="s">
        <v>21</v>
      </c>
      <c r="D320" s="10">
        <v>29</v>
      </c>
      <c r="E320" s="19" t="s">
        <v>268</v>
      </c>
      <c r="F320" s="10">
        <v>0.2</v>
      </c>
      <c r="G320" s="10" t="s">
        <v>26</v>
      </c>
      <c r="H320" s="10"/>
      <c r="I320" s="10">
        <v>27.7</v>
      </c>
      <c r="J320" s="13" t="s">
        <v>70</v>
      </c>
      <c r="K320" s="10">
        <f t="shared" si="57"/>
        <v>4.0000000000000001E-3</v>
      </c>
      <c r="L320" s="10">
        <f t="shared" si="58"/>
        <v>0.18000000000000002</v>
      </c>
      <c r="M320" s="10">
        <f t="shared" si="59"/>
        <v>1.6E-2</v>
      </c>
      <c r="N320" s="10">
        <f t="shared" si="55"/>
        <v>0.2</v>
      </c>
      <c r="O320" s="10">
        <f t="shared" si="51"/>
        <v>0.2</v>
      </c>
      <c r="P320">
        <f t="shared" si="56"/>
        <v>0.27699999999999997</v>
      </c>
    </row>
    <row r="321" spans="1:16" hidden="1" x14ac:dyDescent="0.25">
      <c r="A321" s="10" t="s">
        <v>163</v>
      </c>
      <c r="B321" s="10" t="s">
        <v>197</v>
      </c>
      <c r="C321" s="10" t="s">
        <v>21</v>
      </c>
      <c r="D321" s="10">
        <v>29</v>
      </c>
      <c r="E321" s="19" t="s">
        <v>269</v>
      </c>
      <c r="F321" s="10">
        <v>0</v>
      </c>
      <c r="G321" s="10" t="s">
        <v>26</v>
      </c>
      <c r="H321" s="10"/>
      <c r="I321" s="10">
        <v>1.1000000000000001</v>
      </c>
      <c r="J321" s="13" t="s">
        <v>70</v>
      </c>
      <c r="K321" s="10">
        <f t="shared" si="57"/>
        <v>0</v>
      </c>
      <c r="L321" s="10">
        <f t="shared" si="58"/>
        <v>0</v>
      </c>
      <c r="M321" s="10">
        <f t="shared" si="59"/>
        <v>0</v>
      </c>
      <c r="N321" s="10">
        <f t="shared" si="55"/>
        <v>0</v>
      </c>
      <c r="O321" s="10">
        <f t="shared" si="51"/>
        <v>0</v>
      </c>
      <c r="P321">
        <f t="shared" si="56"/>
        <v>1.1000000000000001E-2</v>
      </c>
    </row>
    <row r="322" spans="1:16" hidden="1" x14ac:dyDescent="0.25">
      <c r="A322" s="10" t="s">
        <v>163</v>
      </c>
      <c r="B322" s="10" t="s">
        <v>198</v>
      </c>
      <c r="C322" s="10" t="s">
        <v>21</v>
      </c>
      <c r="D322" s="10">
        <v>29</v>
      </c>
      <c r="E322" s="19" t="s">
        <v>270</v>
      </c>
      <c r="F322" s="10">
        <v>0.1</v>
      </c>
      <c r="G322" s="10" t="s">
        <v>26</v>
      </c>
      <c r="H322" s="10"/>
      <c r="I322" s="10">
        <v>29</v>
      </c>
      <c r="J322" s="13" t="s">
        <v>70</v>
      </c>
      <c r="K322" s="10">
        <f t="shared" si="57"/>
        <v>2E-3</v>
      </c>
      <c r="L322" s="10">
        <f t="shared" si="58"/>
        <v>9.0000000000000011E-2</v>
      </c>
      <c r="M322" s="10">
        <f t="shared" si="59"/>
        <v>8.0000000000000002E-3</v>
      </c>
      <c r="N322" s="10">
        <f t="shared" si="55"/>
        <v>0.1</v>
      </c>
      <c r="O322" s="10">
        <f t="shared" si="51"/>
        <v>0.1</v>
      </c>
      <c r="P322">
        <f t="shared" si="56"/>
        <v>0.28999999999999998</v>
      </c>
    </row>
    <row r="323" spans="1:16" hidden="1" x14ac:dyDescent="0.25">
      <c r="A323" s="10" t="s">
        <v>163</v>
      </c>
      <c r="B323" s="10" t="s">
        <v>199</v>
      </c>
      <c r="C323" s="10" t="s">
        <v>21</v>
      </c>
      <c r="D323" s="10">
        <v>34</v>
      </c>
      <c r="E323" s="19" t="s">
        <v>271</v>
      </c>
      <c r="F323" s="10">
        <v>0.5</v>
      </c>
      <c r="G323" s="10" t="s">
        <v>26</v>
      </c>
      <c r="H323" s="10"/>
      <c r="I323" s="10">
        <v>32.799999999999997</v>
      </c>
      <c r="J323" s="13" t="s">
        <v>70</v>
      </c>
      <c r="K323" s="10">
        <f t="shared" si="57"/>
        <v>0.01</v>
      </c>
      <c r="L323" s="10">
        <f t="shared" si="58"/>
        <v>0.45</v>
      </c>
      <c r="M323" s="10">
        <f t="shared" si="59"/>
        <v>0.04</v>
      </c>
      <c r="N323" s="10">
        <f t="shared" si="55"/>
        <v>0.5</v>
      </c>
      <c r="O323" s="10">
        <f t="shared" ref="O323:O366" si="60">SUM(K323:M323)</f>
        <v>0.5</v>
      </c>
      <c r="P323">
        <f t="shared" si="56"/>
        <v>0.32799999999999996</v>
      </c>
    </row>
    <row r="324" spans="1:16" hidden="1" x14ac:dyDescent="0.25">
      <c r="A324" s="10" t="s">
        <v>163</v>
      </c>
      <c r="B324" s="10" t="s">
        <v>199</v>
      </c>
      <c r="C324" s="10" t="s">
        <v>21</v>
      </c>
      <c r="D324" s="10">
        <v>34</v>
      </c>
      <c r="E324" s="19" t="s">
        <v>290</v>
      </c>
      <c r="F324" s="10">
        <v>0.1</v>
      </c>
      <c r="G324" s="10" t="s">
        <v>26</v>
      </c>
      <c r="H324" s="10"/>
      <c r="I324" s="10">
        <v>0.7</v>
      </c>
      <c r="J324" s="13" t="s">
        <v>70</v>
      </c>
      <c r="K324" s="10">
        <f t="shared" si="57"/>
        <v>2E-3</v>
      </c>
      <c r="L324" s="10">
        <f t="shared" si="58"/>
        <v>9.0000000000000011E-2</v>
      </c>
      <c r="M324" s="10">
        <f t="shared" si="59"/>
        <v>8.0000000000000002E-3</v>
      </c>
      <c r="N324" s="10">
        <f t="shared" si="55"/>
        <v>0.1</v>
      </c>
      <c r="O324" s="10">
        <f t="shared" si="60"/>
        <v>0.1</v>
      </c>
      <c r="P324">
        <f t="shared" si="56"/>
        <v>6.9999999999999993E-3</v>
      </c>
    </row>
    <row r="325" spans="1:16" hidden="1" x14ac:dyDescent="0.25">
      <c r="A325" s="10" t="s">
        <v>163</v>
      </c>
      <c r="B325" s="10" t="s">
        <v>200</v>
      </c>
      <c r="C325" s="10" t="s">
        <v>21</v>
      </c>
      <c r="D325" s="10">
        <v>34</v>
      </c>
      <c r="E325" s="19" t="s">
        <v>291</v>
      </c>
      <c r="F325" s="10">
        <v>3.3333333333333333E-2</v>
      </c>
      <c r="G325" s="10" t="s">
        <v>26</v>
      </c>
      <c r="H325" s="10"/>
      <c r="I325" s="10">
        <v>33.9</v>
      </c>
      <c r="J325" s="13" t="s">
        <v>70</v>
      </c>
      <c r="K325" s="10">
        <f t="shared" si="57"/>
        <v>6.6666666666666664E-4</v>
      </c>
      <c r="L325" s="10">
        <f t="shared" si="58"/>
        <v>0.03</v>
      </c>
      <c r="M325" s="10">
        <f t="shared" si="59"/>
        <v>2.6666666666666666E-3</v>
      </c>
      <c r="N325" s="10">
        <f t="shared" si="55"/>
        <v>3.3333333333333333E-2</v>
      </c>
      <c r="O325" s="10">
        <f t="shared" si="60"/>
        <v>3.3333333333333333E-2</v>
      </c>
      <c r="P325">
        <f t="shared" si="56"/>
        <v>0.33899999999999997</v>
      </c>
    </row>
    <row r="326" spans="1:16" hidden="1" x14ac:dyDescent="0.25">
      <c r="A326" s="10" t="s">
        <v>163</v>
      </c>
      <c r="B326" s="10" t="s">
        <v>201</v>
      </c>
      <c r="C326" s="10" t="s">
        <v>21</v>
      </c>
      <c r="D326" s="10">
        <v>44</v>
      </c>
      <c r="E326" s="19" t="s">
        <v>292</v>
      </c>
      <c r="F326" s="10">
        <v>0</v>
      </c>
      <c r="G326" s="10" t="s">
        <v>26</v>
      </c>
      <c r="H326" s="10"/>
      <c r="I326" s="10">
        <v>41</v>
      </c>
      <c r="J326" s="13" t="s">
        <v>70</v>
      </c>
      <c r="K326" s="10">
        <f t="shared" si="57"/>
        <v>0</v>
      </c>
      <c r="L326" s="10">
        <f t="shared" si="58"/>
        <v>0</v>
      </c>
      <c r="M326" s="10">
        <f t="shared" si="59"/>
        <v>0</v>
      </c>
      <c r="N326" s="10">
        <f t="shared" si="55"/>
        <v>0</v>
      </c>
      <c r="O326" s="10">
        <f t="shared" si="60"/>
        <v>0</v>
      </c>
      <c r="P326">
        <f t="shared" si="56"/>
        <v>0.41</v>
      </c>
    </row>
    <row r="327" spans="1:16" hidden="1" x14ac:dyDescent="0.25">
      <c r="A327" s="10" t="s">
        <v>163</v>
      </c>
      <c r="B327" s="10" t="s">
        <v>201</v>
      </c>
      <c r="C327" s="10" t="s">
        <v>21</v>
      </c>
      <c r="D327" s="10">
        <v>44</v>
      </c>
      <c r="E327" s="19" t="s">
        <v>293</v>
      </c>
      <c r="F327" s="10">
        <v>0.1</v>
      </c>
      <c r="G327" s="10" t="s">
        <v>26</v>
      </c>
      <c r="H327" s="10"/>
      <c r="I327" s="10">
        <v>1</v>
      </c>
      <c r="J327" s="13" t="s">
        <v>70</v>
      </c>
      <c r="K327" s="10">
        <f t="shared" si="57"/>
        <v>2E-3</v>
      </c>
      <c r="L327" s="10">
        <f t="shared" si="58"/>
        <v>9.0000000000000011E-2</v>
      </c>
      <c r="M327" s="10">
        <f t="shared" si="59"/>
        <v>8.0000000000000002E-3</v>
      </c>
      <c r="N327" s="10">
        <f t="shared" si="55"/>
        <v>0.1</v>
      </c>
      <c r="O327" s="10">
        <f t="shared" si="60"/>
        <v>0.1</v>
      </c>
      <c r="P327">
        <f t="shared" si="56"/>
        <v>0.01</v>
      </c>
    </row>
    <row r="328" spans="1:16" hidden="1" x14ac:dyDescent="0.25">
      <c r="A328" s="10" t="s">
        <v>163</v>
      </c>
      <c r="B328" s="10" t="s">
        <v>202</v>
      </c>
      <c r="C328" s="10" t="s">
        <v>22</v>
      </c>
      <c r="D328" s="10">
        <v>45</v>
      </c>
      <c r="E328" s="19" t="s">
        <v>226</v>
      </c>
      <c r="F328" s="10">
        <v>0.2</v>
      </c>
      <c r="G328" s="10" t="s">
        <v>26</v>
      </c>
      <c r="H328" s="10"/>
      <c r="I328" s="10">
        <v>45</v>
      </c>
      <c r="J328" s="13" t="s">
        <v>70</v>
      </c>
      <c r="K328" s="10">
        <f t="shared" si="57"/>
        <v>4.0000000000000001E-3</v>
      </c>
      <c r="L328" s="10">
        <f t="shared" si="58"/>
        <v>0.18000000000000002</v>
      </c>
      <c r="M328" s="10">
        <f t="shared" si="59"/>
        <v>1.6E-2</v>
      </c>
      <c r="N328" s="10">
        <f t="shared" si="55"/>
        <v>0.2</v>
      </c>
      <c r="O328" s="10">
        <f t="shared" si="60"/>
        <v>0.2</v>
      </c>
      <c r="P328">
        <f t="shared" si="56"/>
        <v>0.45</v>
      </c>
    </row>
    <row r="329" spans="1:16" hidden="1" x14ac:dyDescent="0.25">
      <c r="A329" s="10" t="s">
        <v>163</v>
      </c>
      <c r="B329" s="10" t="s">
        <v>203</v>
      </c>
      <c r="C329" s="10" t="s">
        <v>21</v>
      </c>
      <c r="D329" s="10">
        <v>80</v>
      </c>
      <c r="E329" s="19" t="s">
        <v>294</v>
      </c>
      <c r="F329" s="10">
        <v>0.1</v>
      </c>
      <c r="G329" s="10" t="s">
        <v>26</v>
      </c>
      <c r="H329" s="10"/>
      <c r="I329" s="10">
        <v>75</v>
      </c>
      <c r="J329" s="13" t="s">
        <v>70</v>
      </c>
      <c r="K329" s="10">
        <f t="shared" si="57"/>
        <v>2E-3</v>
      </c>
      <c r="L329" s="10">
        <f t="shared" si="58"/>
        <v>9.0000000000000011E-2</v>
      </c>
      <c r="M329" s="10">
        <f t="shared" si="59"/>
        <v>8.0000000000000002E-3</v>
      </c>
      <c r="N329" s="10">
        <f t="shared" si="55"/>
        <v>0.1</v>
      </c>
      <c r="O329" s="10">
        <f t="shared" si="60"/>
        <v>0.1</v>
      </c>
      <c r="P329">
        <f t="shared" si="56"/>
        <v>0.75</v>
      </c>
    </row>
    <row r="330" spans="1:16" hidden="1" x14ac:dyDescent="0.25">
      <c r="A330" s="10" t="s">
        <v>163</v>
      </c>
      <c r="B330" s="10" t="s">
        <v>203</v>
      </c>
      <c r="C330" s="10" t="s">
        <v>21</v>
      </c>
      <c r="D330" s="10">
        <v>80</v>
      </c>
      <c r="E330" s="19" t="s">
        <v>295</v>
      </c>
      <c r="F330" s="10">
        <v>0.4</v>
      </c>
      <c r="G330" s="10" t="s">
        <v>26</v>
      </c>
      <c r="H330" s="10"/>
      <c r="I330" s="10">
        <v>0.8</v>
      </c>
      <c r="J330" s="13" t="s">
        <v>70</v>
      </c>
      <c r="K330" s="10">
        <f t="shared" si="57"/>
        <v>8.0000000000000002E-3</v>
      </c>
      <c r="L330" s="10">
        <f t="shared" si="58"/>
        <v>0.36000000000000004</v>
      </c>
      <c r="M330" s="10">
        <f t="shared" si="59"/>
        <v>3.2000000000000001E-2</v>
      </c>
      <c r="N330" s="10">
        <f t="shared" si="55"/>
        <v>0.4</v>
      </c>
      <c r="O330" s="10">
        <f t="shared" si="60"/>
        <v>0.4</v>
      </c>
      <c r="P330">
        <f t="shared" si="56"/>
        <v>8.0000000000000002E-3</v>
      </c>
    </row>
    <row r="331" spans="1:16" hidden="1" x14ac:dyDescent="0.25">
      <c r="A331" s="10" t="s">
        <v>163</v>
      </c>
      <c r="B331" s="10" t="s">
        <v>204</v>
      </c>
      <c r="C331" s="10" t="s">
        <v>21</v>
      </c>
      <c r="D331" s="10">
        <v>80</v>
      </c>
      <c r="E331" s="19" t="s">
        <v>294</v>
      </c>
      <c r="F331" s="10">
        <v>0.2</v>
      </c>
      <c r="G331" s="10" t="s">
        <v>26</v>
      </c>
      <c r="H331" s="10"/>
      <c r="I331" s="10">
        <v>75</v>
      </c>
      <c r="J331" s="13" t="s">
        <v>70</v>
      </c>
      <c r="K331" s="10">
        <f t="shared" si="57"/>
        <v>4.0000000000000001E-3</v>
      </c>
      <c r="L331" s="10">
        <f t="shared" si="58"/>
        <v>0.18000000000000002</v>
      </c>
      <c r="M331" s="10">
        <f t="shared" si="59"/>
        <v>1.6E-2</v>
      </c>
      <c r="N331" s="10">
        <f t="shared" si="55"/>
        <v>0.2</v>
      </c>
      <c r="O331" s="10">
        <f t="shared" si="60"/>
        <v>0.2</v>
      </c>
      <c r="P331">
        <f t="shared" si="56"/>
        <v>0.75</v>
      </c>
    </row>
    <row r="332" spans="1:16" hidden="1" x14ac:dyDescent="0.25">
      <c r="A332" s="10" t="s">
        <v>163</v>
      </c>
      <c r="B332" s="10" t="s">
        <v>205</v>
      </c>
      <c r="C332" s="10" t="s">
        <v>21</v>
      </c>
      <c r="D332" s="10">
        <v>109</v>
      </c>
      <c r="E332" s="19" t="s">
        <v>257</v>
      </c>
      <c r="F332" s="10">
        <v>0.2</v>
      </c>
      <c r="G332" s="10" t="s">
        <v>26</v>
      </c>
      <c r="H332" s="10"/>
      <c r="I332" s="10">
        <v>103.4</v>
      </c>
      <c r="J332" s="13" t="s">
        <v>70</v>
      </c>
      <c r="K332" s="10">
        <f t="shared" si="57"/>
        <v>4.0000000000000001E-3</v>
      </c>
      <c r="L332" s="10">
        <f t="shared" si="58"/>
        <v>0.18000000000000002</v>
      </c>
      <c r="M332" s="10">
        <f t="shared" si="59"/>
        <v>1.6E-2</v>
      </c>
      <c r="N332" s="10">
        <f t="shared" si="55"/>
        <v>0.2</v>
      </c>
      <c r="O332" s="10">
        <f t="shared" si="60"/>
        <v>0.2</v>
      </c>
      <c r="P332">
        <f t="shared" si="56"/>
        <v>1.034</v>
      </c>
    </row>
    <row r="333" spans="1:16" hidden="1" x14ac:dyDescent="0.25">
      <c r="A333" s="10" t="s">
        <v>163</v>
      </c>
      <c r="B333" s="10" t="s">
        <v>205</v>
      </c>
      <c r="C333" s="10" t="s">
        <v>21</v>
      </c>
      <c r="D333" s="10">
        <v>109</v>
      </c>
      <c r="E333" s="19" t="s">
        <v>264</v>
      </c>
      <c r="F333" s="10">
        <v>0.5714285714285714</v>
      </c>
      <c r="G333" s="10" t="s">
        <v>26</v>
      </c>
      <c r="H333" s="10"/>
      <c r="I333" s="10">
        <v>1.3</v>
      </c>
      <c r="J333" s="13" t="s">
        <v>70</v>
      </c>
      <c r="K333" s="10">
        <f t="shared" si="57"/>
        <v>1.1428571428571429E-2</v>
      </c>
      <c r="L333" s="10">
        <f t="shared" si="58"/>
        <v>0.51428571428571423</v>
      </c>
      <c r="M333" s="10">
        <f t="shared" si="59"/>
        <v>4.5714285714285714E-2</v>
      </c>
      <c r="N333" s="10">
        <f t="shared" si="55"/>
        <v>0.5714285714285714</v>
      </c>
      <c r="O333" s="10">
        <f t="shared" si="60"/>
        <v>0.5714285714285714</v>
      </c>
      <c r="P333">
        <f t="shared" si="56"/>
        <v>1.3000000000000001E-2</v>
      </c>
    </row>
    <row r="334" spans="1:16" x14ac:dyDescent="0.25">
      <c r="A334" s="10" t="s">
        <v>163</v>
      </c>
      <c r="B334" s="10" t="s">
        <v>206</v>
      </c>
      <c r="C334" s="10" t="s">
        <v>21</v>
      </c>
      <c r="D334" s="10">
        <v>98</v>
      </c>
      <c r="E334" s="19" t="s">
        <v>272</v>
      </c>
      <c r="F334" s="10">
        <v>0.6</v>
      </c>
      <c r="G334" s="10" t="s">
        <v>26</v>
      </c>
      <c r="H334" s="10"/>
      <c r="I334" s="10">
        <v>0</v>
      </c>
      <c r="J334" s="13" t="s">
        <v>70</v>
      </c>
      <c r="K334" s="10">
        <f t="shared" si="57"/>
        <v>1.2E-2</v>
      </c>
      <c r="L334" s="10">
        <f t="shared" si="58"/>
        <v>0.54</v>
      </c>
      <c r="M334" s="10">
        <f t="shared" si="59"/>
        <v>4.8000000000000001E-2</v>
      </c>
      <c r="N334" s="10">
        <f t="shared" si="55"/>
        <v>0.6</v>
      </c>
      <c r="O334" s="10">
        <f t="shared" si="60"/>
        <v>0.60000000000000009</v>
      </c>
      <c r="P334">
        <f t="shared" si="56"/>
        <v>0</v>
      </c>
    </row>
    <row r="335" spans="1:16" hidden="1" x14ac:dyDescent="0.25">
      <c r="A335" s="10" t="s">
        <v>163</v>
      </c>
      <c r="B335" s="10" t="s">
        <v>207</v>
      </c>
      <c r="C335" s="10" t="s">
        <v>21</v>
      </c>
      <c r="D335" s="10">
        <v>79</v>
      </c>
      <c r="E335" s="19" t="s">
        <v>273</v>
      </c>
      <c r="F335" s="10">
        <v>0.6</v>
      </c>
      <c r="G335" s="10" t="s">
        <v>26</v>
      </c>
      <c r="H335" s="10"/>
      <c r="I335" s="10">
        <v>71.5</v>
      </c>
      <c r="J335" s="13" t="s">
        <v>70</v>
      </c>
      <c r="K335" s="10">
        <f t="shared" si="57"/>
        <v>1.2E-2</v>
      </c>
      <c r="L335" s="10">
        <f t="shared" si="58"/>
        <v>0.54</v>
      </c>
      <c r="M335" s="10">
        <f t="shared" si="59"/>
        <v>4.8000000000000001E-2</v>
      </c>
      <c r="N335" s="10">
        <f t="shared" si="55"/>
        <v>0.6</v>
      </c>
      <c r="O335" s="10">
        <f t="shared" si="60"/>
        <v>0.60000000000000009</v>
      </c>
      <c r="P335">
        <f t="shared" si="56"/>
        <v>0.71499999999999997</v>
      </c>
    </row>
    <row r="336" spans="1:16" hidden="1" x14ac:dyDescent="0.25">
      <c r="A336" s="10" t="s">
        <v>163</v>
      </c>
      <c r="B336" s="10" t="s">
        <v>207</v>
      </c>
      <c r="C336" s="10" t="s">
        <v>21</v>
      </c>
      <c r="D336" s="10">
        <v>79</v>
      </c>
      <c r="E336" s="19" t="s">
        <v>274</v>
      </c>
      <c r="F336" s="10">
        <v>1.6</v>
      </c>
      <c r="G336" s="10" t="s">
        <v>26</v>
      </c>
      <c r="H336" s="10"/>
      <c r="I336" s="10">
        <v>0.5</v>
      </c>
      <c r="J336" s="13" t="s">
        <v>70</v>
      </c>
      <c r="K336" s="10">
        <f t="shared" ref="K336:K366" si="61">0.02*N336</f>
        <v>3.2000000000000001E-2</v>
      </c>
      <c r="L336" s="10">
        <f t="shared" ref="L336:L366" si="62">0.9*N336</f>
        <v>1.4400000000000002</v>
      </c>
      <c r="M336" s="10">
        <f t="shared" ref="M336:M366" si="63">0.08*N336</f>
        <v>0.128</v>
      </c>
      <c r="N336" s="10">
        <f t="shared" si="55"/>
        <v>1.6</v>
      </c>
      <c r="O336" s="10">
        <f t="shared" si="60"/>
        <v>1.6</v>
      </c>
      <c r="P336">
        <f t="shared" si="56"/>
        <v>5.0000000000000001E-3</v>
      </c>
    </row>
    <row r="337" spans="1:16" hidden="1" x14ac:dyDescent="0.25">
      <c r="A337" s="10" t="s">
        <v>163</v>
      </c>
      <c r="B337" s="10" t="s">
        <v>208</v>
      </c>
      <c r="C337" s="10" t="s">
        <v>21</v>
      </c>
      <c r="D337" s="10">
        <v>77</v>
      </c>
      <c r="E337" s="19" t="s">
        <v>275</v>
      </c>
      <c r="F337" s="10">
        <v>0.8</v>
      </c>
      <c r="G337" s="10" t="s">
        <v>26</v>
      </c>
      <c r="H337" s="10"/>
      <c r="I337" s="10">
        <v>74.5</v>
      </c>
      <c r="J337" s="13" t="s">
        <v>70</v>
      </c>
      <c r="K337" s="10">
        <f t="shared" si="61"/>
        <v>1.6E-2</v>
      </c>
      <c r="L337" s="10">
        <f t="shared" si="62"/>
        <v>0.72000000000000008</v>
      </c>
      <c r="M337" s="10">
        <f t="shared" si="63"/>
        <v>6.4000000000000001E-2</v>
      </c>
      <c r="N337" s="10">
        <f t="shared" ref="N337:N366" si="64">F337</f>
        <v>0.8</v>
      </c>
      <c r="O337" s="10">
        <f t="shared" si="60"/>
        <v>0.8</v>
      </c>
      <c r="P337">
        <f t="shared" si="56"/>
        <v>0.745</v>
      </c>
    </row>
    <row r="338" spans="1:16" hidden="1" x14ac:dyDescent="0.25">
      <c r="A338" s="10" t="s">
        <v>163</v>
      </c>
      <c r="B338" s="10" t="s">
        <v>208</v>
      </c>
      <c r="C338" s="10" t="s">
        <v>21</v>
      </c>
      <c r="D338" s="10">
        <v>77</v>
      </c>
      <c r="E338" s="19" t="s">
        <v>274</v>
      </c>
      <c r="F338" s="10">
        <v>2.5</v>
      </c>
      <c r="G338" s="10" t="s">
        <v>26</v>
      </c>
      <c r="H338" s="10"/>
      <c r="I338" s="10">
        <v>0.5</v>
      </c>
      <c r="J338" s="13" t="s">
        <v>70</v>
      </c>
      <c r="K338" s="10">
        <f t="shared" si="61"/>
        <v>0.05</v>
      </c>
      <c r="L338" s="10">
        <f t="shared" si="62"/>
        <v>2.25</v>
      </c>
      <c r="M338" s="10">
        <f t="shared" si="63"/>
        <v>0.2</v>
      </c>
      <c r="N338" s="10">
        <f t="shared" si="64"/>
        <v>2.5</v>
      </c>
      <c r="O338" s="10">
        <f t="shared" si="60"/>
        <v>2.5</v>
      </c>
      <c r="P338">
        <f t="shared" si="56"/>
        <v>5.0000000000000001E-3</v>
      </c>
    </row>
    <row r="339" spans="1:16" hidden="1" x14ac:dyDescent="0.25">
      <c r="A339" s="10" t="s">
        <v>163</v>
      </c>
      <c r="B339" s="10" t="s">
        <v>209</v>
      </c>
      <c r="C339" s="10" t="s">
        <v>21</v>
      </c>
      <c r="D339" s="10">
        <v>86</v>
      </c>
      <c r="E339" s="19" t="s">
        <v>276</v>
      </c>
      <c r="F339" s="10">
        <v>0.5</v>
      </c>
      <c r="G339" s="10" t="s">
        <v>26</v>
      </c>
      <c r="H339" s="10"/>
      <c r="I339" s="10">
        <v>78.5</v>
      </c>
      <c r="J339" s="13" t="s">
        <v>70</v>
      </c>
      <c r="K339" s="10">
        <f t="shared" si="61"/>
        <v>0.01</v>
      </c>
      <c r="L339" s="10">
        <f t="shared" si="62"/>
        <v>0.45</v>
      </c>
      <c r="M339" s="10">
        <f t="shared" si="63"/>
        <v>0.04</v>
      </c>
      <c r="N339" s="10">
        <f t="shared" si="64"/>
        <v>0.5</v>
      </c>
      <c r="O339" s="10">
        <f t="shared" si="60"/>
        <v>0.5</v>
      </c>
      <c r="P339">
        <f t="shared" si="56"/>
        <v>0.78500000000000003</v>
      </c>
    </row>
    <row r="340" spans="1:16" hidden="1" x14ac:dyDescent="0.25">
      <c r="A340" s="10" t="s">
        <v>163</v>
      </c>
      <c r="B340" s="10" t="s">
        <v>209</v>
      </c>
      <c r="C340" s="10" t="s">
        <v>21</v>
      </c>
      <c r="D340" s="10">
        <v>86</v>
      </c>
      <c r="E340" s="19" t="s">
        <v>274</v>
      </c>
      <c r="F340" s="10">
        <v>1.6</v>
      </c>
      <c r="G340" s="10" t="s">
        <v>26</v>
      </c>
      <c r="H340" s="10"/>
      <c r="I340" s="10">
        <v>0.5</v>
      </c>
      <c r="J340" s="13" t="s">
        <v>70</v>
      </c>
      <c r="K340" s="10">
        <f t="shared" si="61"/>
        <v>3.2000000000000001E-2</v>
      </c>
      <c r="L340" s="10">
        <f t="shared" si="62"/>
        <v>1.4400000000000002</v>
      </c>
      <c r="M340" s="10">
        <f t="shared" si="63"/>
        <v>0.128</v>
      </c>
      <c r="N340" s="10">
        <f t="shared" si="64"/>
        <v>1.6</v>
      </c>
      <c r="O340" s="10">
        <f t="shared" si="60"/>
        <v>1.6</v>
      </c>
      <c r="P340">
        <f t="shared" si="56"/>
        <v>5.0000000000000001E-3</v>
      </c>
    </row>
    <row r="341" spans="1:16" hidden="1" x14ac:dyDescent="0.25">
      <c r="A341" s="10" t="s">
        <v>163</v>
      </c>
      <c r="B341" s="10" t="s">
        <v>210</v>
      </c>
      <c r="C341" s="10" t="s">
        <v>21</v>
      </c>
      <c r="D341" s="10">
        <v>57</v>
      </c>
      <c r="E341" s="19" t="s">
        <v>277</v>
      </c>
      <c r="F341" s="10">
        <v>0.1</v>
      </c>
      <c r="G341" s="10" t="s">
        <v>26</v>
      </c>
      <c r="H341" s="10"/>
      <c r="I341" s="10">
        <v>52.5</v>
      </c>
      <c r="J341" s="13" t="s">
        <v>70</v>
      </c>
      <c r="K341" s="10">
        <f t="shared" si="61"/>
        <v>2E-3</v>
      </c>
      <c r="L341" s="10">
        <f t="shared" si="62"/>
        <v>9.0000000000000011E-2</v>
      </c>
      <c r="M341" s="10">
        <f t="shared" si="63"/>
        <v>8.0000000000000002E-3</v>
      </c>
      <c r="N341" s="10">
        <f t="shared" si="64"/>
        <v>0.1</v>
      </c>
      <c r="O341" s="10">
        <f t="shared" si="60"/>
        <v>0.1</v>
      </c>
      <c r="P341">
        <f t="shared" si="56"/>
        <v>0.52500000000000002</v>
      </c>
    </row>
    <row r="342" spans="1:16" hidden="1" x14ac:dyDescent="0.25">
      <c r="A342" s="10" t="s">
        <v>163</v>
      </c>
      <c r="B342" s="10" t="s">
        <v>210</v>
      </c>
      <c r="C342" s="10" t="s">
        <v>21</v>
      </c>
      <c r="D342" s="10">
        <v>57</v>
      </c>
      <c r="E342" s="19" t="s">
        <v>274</v>
      </c>
      <c r="F342" s="10">
        <v>2</v>
      </c>
      <c r="G342" s="10" t="s">
        <v>26</v>
      </c>
      <c r="H342" s="10"/>
      <c r="I342" s="10">
        <v>0.5</v>
      </c>
      <c r="J342" s="13" t="s">
        <v>70</v>
      </c>
      <c r="K342" s="10">
        <f t="shared" si="61"/>
        <v>0.04</v>
      </c>
      <c r="L342" s="10">
        <f t="shared" si="62"/>
        <v>1.8</v>
      </c>
      <c r="M342" s="10">
        <f t="shared" si="63"/>
        <v>0.16</v>
      </c>
      <c r="N342" s="10">
        <f t="shared" si="64"/>
        <v>2</v>
      </c>
      <c r="O342" s="10">
        <f t="shared" si="60"/>
        <v>2</v>
      </c>
      <c r="P342">
        <f t="shared" ref="P342:P366" si="65">I342/100</f>
        <v>5.0000000000000001E-3</v>
      </c>
    </row>
    <row r="343" spans="1:16" hidden="1" x14ac:dyDescent="0.25">
      <c r="A343" s="10" t="s">
        <v>163</v>
      </c>
      <c r="B343" s="10" t="s">
        <v>211</v>
      </c>
      <c r="C343" s="10" t="s">
        <v>21</v>
      </c>
      <c r="D343" s="10">
        <v>74</v>
      </c>
      <c r="E343" s="19" t="s">
        <v>278</v>
      </c>
      <c r="F343" s="10">
        <v>0.1</v>
      </c>
      <c r="G343" s="10" t="s">
        <v>26</v>
      </c>
      <c r="H343" s="10"/>
      <c r="I343" s="10">
        <v>68.5</v>
      </c>
      <c r="J343" s="13" t="s">
        <v>70</v>
      </c>
      <c r="K343" s="10">
        <f t="shared" si="61"/>
        <v>2E-3</v>
      </c>
      <c r="L343" s="10">
        <f t="shared" si="62"/>
        <v>9.0000000000000011E-2</v>
      </c>
      <c r="M343" s="10">
        <f t="shared" si="63"/>
        <v>8.0000000000000002E-3</v>
      </c>
      <c r="N343" s="10">
        <f t="shared" si="64"/>
        <v>0.1</v>
      </c>
      <c r="O343" s="10">
        <f t="shared" si="60"/>
        <v>0.1</v>
      </c>
      <c r="P343">
        <f t="shared" si="65"/>
        <v>0.68500000000000005</v>
      </c>
    </row>
    <row r="344" spans="1:16" hidden="1" x14ac:dyDescent="0.25">
      <c r="A344" s="10" t="s">
        <v>163</v>
      </c>
      <c r="B344" s="10" t="s">
        <v>211</v>
      </c>
      <c r="C344" s="10" t="s">
        <v>21</v>
      </c>
      <c r="D344" s="10">
        <v>74</v>
      </c>
      <c r="E344" s="19" t="s">
        <v>274</v>
      </c>
      <c r="F344" s="10">
        <v>2.2999999999999998</v>
      </c>
      <c r="G344" s="10" t="s">
        <v>26</v>
      </c>
      <c r="H344" s="10"/>
      <c r="I344" s="10">
        <v>0.5</v>
      </c>
      <c r="J344" s="13" t="s">
        <v>70</v>
      </c>
      <c r="K344" s="10">
        <f t="shared" si="61"/>
        <v>4.5999999999999999E-2</v>
      </c>
      <c r="L344" s="10">
        <f t="shared" si="62"/>
        <v>2.0699999999999998</v>
      </c>
      <c r="M344" s="10">
        <f t="shared" si="63"/>
        <v>0.184</v>
      </c>
      <c r="N344" s="10">
        <f t="shared" si="64"/>
        <v>2.2999999999999998</v>
      </c>
      <c r="O344" s="10">
        <f t="shared" si="60"/>
        <v>2.2999999999999998</v>
      </c>
      <c r="P344">
        <f t="shared" si="65"/>
        <v>5.0000000000000001E-3</v>
      </c>
    </row>
    <row r="345" spans="1:16" hidden="1" x14ac:dyDescent="0.25">
      <c r="A345" s="10" t="s">
        <v>163</v>
      </c>
      <c r="B345" s="10" t="s">
        <v>212</v>
      </c>
      <c r="C345" s="10" t="s">
        <v>21</v>
      </c>
      <c r="D345" s="10">
        <v>94</v>
      </c>
      <c r="E345" s="19" t="s">
        <v>279</v>
      </c>
      <c r="F345" s="10">
        <v>0.1</v>
      </c>
      <c r="G345" s="10" t="s">
        <v>26</v>
      </c>
      <c r="H345" s="10"/>
      <c r="I345" s="10">
        <v>86.5</v>
      </c>
      <c r="J345" s="13" t="s">
        <v>70</v>
      </c>
      <c r="K345" s="10">
        <f t="shared" si="61"/>
        <v>2E-3</v>
      </c>
      <c r="L345" s="10">
        <f t="shared" si="62"/>
        <v>9.0000000000000011E-2</v>
      </c>
      <c r="M345" s="10">
        <f t="shared" si="63"/>
        <v>8.0000000000000002E-3</v>
      </c>
      <c r="N345" s="10">
        <f t="shared" si="64"/>
        <v>0.1</v>
      </c>
      <c r="O345" s="10">
        <f t="shared" si="60"/>
        <v>0.1</v>
      </c>
      <c r="P345">
        <f t="shared" si="65"/>
        <v>0.86499999999999999</v>
      </c>
    </row>
    <row r="346" spans="1:16" hidden="1" x14ac:dyDescent="0.25">
      <c r="A346" s="10" t="s">
        <v>163</v>
      </c>
      <c r="B346" s="10" t="s">
        <v>212</v>
      </c>
      <c r="C346" s="10" t="s">
        <v>21</v>
      </c>
      <c r="D346" s="10">
        <v>94</v>
      </c>
      <c r="E346" s="19" t="s">
        <v>274</v>
      </c>
      <c r="F346" s="10">
        <v>0.5</v>
      </c>
      <c r="G346" s="10" t="s">
        <v>26</v>
      </c>
      <c r="H346" s="10"/>
      <c r="I346" s="10">
        <v>0.5</v>
      </c>
      <c r="J346" s="13" t="s">
        <v>70</v>
      </c>
      <c r="K346" s="10">
        <f t="shared" si="61"/>
        <v>0.01</v>
      </c>
      <c r="L346" s="10">
        <f t="shared" si="62"/>
        <v>0.45</v>
      </c>
      <c r="M346" s="10">
        <f t="shared" si="63"/>
        <v>0.04</v>
      </c>
      <c r="N346" s="10">
        <f t="shared" si="64"/>
        <v>0.5</v>
      </c>
      <c r="O346" s="10">
        <f t="shared" si="60"/>
        <v>0.5</v>
      </c>
      <c r="P346">
        <f t="shared" si="65"/>
        <v>5.0000000000000001E-3</v>
      </c>
    </row>
    <row r="347" spans="1:16" hidden="1" x14ac:dyDescent="0.25">
      <c r="A347" s="10" t="s">
        <v>163</v>
      </c>
      <c r="B347" s="10" t="s">
        <v>213</v>
      </c>
      <c r="C347" s="10" t="s">
        <v>21</v>
      </c>
      <c r="D347" s="10">
        <v>67</v>
      </c>
      <c r="E347" s="19" t="s">
        <v>280</v>
      </c>
      <c r="F347" s="10">
        <v>0.7</v>
      </c>
      <c r="G347" s="10" t="s">
        <v>26</v>
      </c>
      <c r="H347" s="10"/>
      <c r="I347" s="10">
        <v>60.5</v>
      </c>
      <c r="J347" s="13" t="s">
        <v>70</v>
      </c>
      <c r="K347" s="10">
        <f t="shared" si="61"/>
        <v>1.3999999999999999E-2</v>
      </c>
      <c r="L347" s="10">
        <f t="shared" si="62"/>
        <v>0.63</v>
      </c>
      <c r="M347" s="10">
        <f t="shared" si="63"/>
        <v>5.5999999999999994E-2</v>
      </c>
      <c r="N347" s="10">
        <f t="shared" si="64"/>
        <v>0.7</v>
      </c>
      <c r="O347" s="10">
        <f t="shared" si="60"/>
        <v>0.7</v>
      </c>
      <c r="P347">
        <f t="shared" si="65"/>
        <v>0.60499999999999998</v>
      </c>
    </row>
    <row r="348" spans="1:16" hidden="1" x14ac:dyDescent="0.25">
      <c r="A348" s="10" t="s">
        <v>163</v>
      </c>
      <c r="B348" s="10" t="s">
        <v>213</v>
      </c>
      <c r="C348" s="10" t="s">
        <v>21</v>
      </c>
      <c r="D348" s="10">
        <v>67</v>
      </c>
      <c r="E348" s="19" t="s">
        <v>274</v>
      </c>
      <c r="F348" s="10">
        <v>0</v>
      </c>
      <c r="G348" s="10" t="s">
        <v>26</v>
      </c>
      <c r="H348" s="10"/>
      <c r="I348" s="10">
        <v>0.5</v>
      </c>
      <c r="J348" s="13" t="s">
        <v>70</v>
      </c>
      <c r="K348" s="10">
        <f t="shared" si="61"/>
        <v>0</v>
      </c>
      <c r="L348" s="10">
        <f t="shared" si="62"/>
        <v>0</v>
      </c>
      <c r="M348" s="10">
        <f t="shared" si="63"/>
        <v>0</v>
      </c>
      <c r="N348" s="10">
        <f t="shared" si="64"/>
        <v>0</v>
      </c>
      <c r="O348" s="10">
        <f t="shared" si="60"/>
        <v>0</v>
      </c>
      <c r="P348">
        <f t="shared" si="65"/>
        <v>5.0000000000000001E-3</v>
      </c>
    </row>
    <row r="349" spans="1:16" hidden="1" x14ac:dyDescent="0.25">
      <c r="A349" s="10" t="s">
        <v>163</v>
      </c>
      <c r="B349" s="10" t="s">
        <v>214</v>
      </c>
      <c r="C349" s="10" t="s">
        <v>21</v>
      </c>
      <c r="D349" s="10">
        <v>121</v>
      </c>
      <c r="E349" s="19" t="s">
        <v>281</v>
      </c>
      <c r="F349" s="10">
        <v>0.1</v>
      </c>
      <c r="G349" s="10" t="s">
        <v>26</v>
      </c>
      <c r="H349" s="10"/>
      <c r="I349" s="10">
        <v>118.5</v>
      </c>
      <c r="J349" s="13" t="s">
        <v>70</v>
      </c>
      <c r="K349" s="10">
        <f t="shared" si="61"/>
        <v>2E-3</v>
      </c>
      <c r="L349" s="10">
        <f t="shared" si="62"/>
        <v>9.0000000000000011E-2</v>
      </c>
      <c r="M349" s="10">
        <f t="shared" si="63"/>
        <v>8.0000000000000002E-3</v>
      </c>
      <c r="N349" s="10">
        <f t="shared" si="64"/>
        <v>0.1</v>
      </c>
      <c r="O349" s="10">
        <f t="shared" si="60"/>
        <v>0.1</v>
      </c>
      <c r="P349">
        <f t="shared" si="65"/>
        <v>1.1850000000000001</v>
      </c>
    </row>
    <row r="350" spans="1:16" hidden="1" x14ac:dyDescent="0.25">
      <c r="A350" s="10" t="s">
        <v>163</v>
      </c>
      <c r="B350" s="10" t="s">
        <v>214</v>
      </c>
      <c r="C350" s="10" t="s">
        <v>21</v>
      </c>
      <c r="D350" s="10">
        <v>121</v>
      </c>
      <c r="E350" s="19" t="s">
        <v>274</v>
      </c>
      <c r="F350" s="10">
        <v>0.9</v>
      </c>
      <c r="G350" s="10" t="s">
        <v>26</v>
      </c>
      <c r="H350" s="10"/>
      <c r="I350" s="10">
        <v>0.5</v>
      </c>
      <c r="J350" s="13" t="s">
        <v>70</v>
      </c>
      <c r="K350" s="10">
        <f t="shared" si="61"/>
        <v>1.8000000000000002E-2</v>
      </c>
      <c r="L350" s="10">
        <f t="shared" si="62"/>
        <v>0.81</v>
      </c>
      <c r="M350" s="10">
        <f t="shared" si="63"/>
        <v>7.2000000000000008E-2</v>
      </c>
      <c r="N350" s="10">
        <f t="shared" si="64"/>
        <v>0.9</v>
      </c>
      <c r="O350" s="10">
        <f t="shared" si="60"/>
        <v>0.90000000000000013</v>
      </c>
      <c r="P350">
        <f t="shared" si="65"/>
        <v>5.0000000000000001E-3</v>
      </c>
    </row>
    <row r="351" spans="1:16" hidden="1" x14ac:dyDescent="0.25">
      <c r="A351" s="10" t="s">
        <v>163</v>
      </c>
      <c r="B351" s="10" t="s">
        <v>215</v>
      </c>
      <c r="C351" s="10" t="s">
        <v>21</v>
      </c>
      <c r="D351" s="10">
        <v>132</v>
      </c>
      <c r="E351" s="19" t="s">
        <v>282</v>
      </c>
      <c r="F351" s="10">
        <v>0.1</v>
      </c>
      <c r="G351" s="10" t="s">
        <v>26</v>
      </c>
      <c r="H351" s="10"/>
      <c r="I351" s="10">
        <v>129.5</v>
      </c>
      <c r="J351" s="13" t="s">
        <v>70</v>
      </c>
      <c r="K351" s="10">
        <f t="shared" si="61"/>
        <v>2E-3</v>
      </c>
      <c r="L351" s="10">
        <f t="shared" si="62"/>
        <v>9.0000000000000011E-2</v>
      </c>
      <c r="M351" s="10">
        <f t="shared" si="63"/>
        <v>8.0000000000000002E-3</v>
      </c>
      <c r="N351" s="10">
        <f t="shared" si="64"/>
        <v>0.1</v>
      </c>
      <c r="O351" s="10">
        <f t="shared" si="60"/>
        <v>0.1</v>
      </c>
      <c r="P351">
        <f t="shared" si="65"/>
        <v>1.2949999999999999</v>
      </c>
    </row>
    <row r="352" spans="1:16" hidden="1" x14ac:dyDescent="0.25">
      <c r="A352" s="10" t="s">
        <v>163</v>
      </c>
      <c r="B352" s="10" t="s">
        <v>215</v>
      </c>
      <c r="C352" s="10" t="s">
        <v>21</v>
      </c>
      <c r="D352" s="10">
        <v>132</v>
      </c>
      <c r="E352" s="19" t="s">
        <v>274</v>
      </c>
      <c r="F352" s="10">
        <v>1.3</v>
      </c>
      <c r="G352" s="10" t="s">
        <v>26</v>
      </c>
      <c r="H352" s="10"/>
      <c r="I352" s="10">
        <v>0.5</v>
      </c>
      <c r="J352" s="13" t="s">
        <v>70</v>
      </c>
      <c r="K352" s="10">
        <f t="shared" si="61"/>
        <v>2.6000000000000002E-2</v>
      </c>
      <c r="L352" s="10">
        <f t="shared" si="62"/>
        <v>1.1700000000000002</v>
      </c>
      <c r="M352" s="10">
        <f t="shared" si="63"/>
        <v>0.10400000000000001</v>
      </c>
      <c r="N352" s="10">
        <f t="shared" si="64"/>
        <v>1.3</v>
      </c>
      <c r="O352" s="10">
        <f t="shared" si="60"/>
        <v>1.3000000000000003</v>
      </c>
      <c r="P352">
        <f t="shared" si="65"/>
        <v>5.0000000000000001E-3</v>
      </c>
    </row>
    <row r="353" spans="1:16" hidden="1" x14ac:dyDescent="0.25">
      <c r="A353" s="10" t="s">
        <v>163</v>
      </c>
      <c r="B353" s="10" t="s">
        <v>216</v>
      </c>
      <c r="C353" s="10" t="s">
        <v>21</v>
      </c>
      <c r="D353" s="10">
        <v>220</v>
      </c>
      <c r="E353" s="19" t="s">
        <v>283</v>
      </c>
      <c r="F353" s="10">
        <v>0</v>
      </c>
      <c r="G353" s="10" t="s">
        <v>26</v>
      </c>
      <c r="H353" s="10"/>
      <c r="I353" s="10">
        <v>217.5</v>
      </c>
      <c r="J353" s="13" t="s">
        <v>70</v>
      </c>
      <c r="K353" s="10">
        <f t="shared" si="61"/>
        <v>0</v>
      </c>
      <c r="L353" s="10">
        <f t="shared" si="62"/>
        <v>0</v>
      </c>
      <c r="M353" s="10">
        <f t="shared" si="63"/>
        <v>0</v>
      </c>
      <c r="N353" s="10">
        <f t="shared" si="64"/>
        <v>0</v>
      </c>
      <c r="O353" s="10">
        <f t="shared" si="60"/>
        <v>0</v>
      </c>
      <c r="P353">
        <f t="shared" si="65"/>
        <v>2.1749999999999998</v>
      </c>
    </row>
    <row r="354" spans="1:16" hidden="1" x14ac:dyDescent="0.25">
      <c r="A354" s="10" t="s">
        <v>163</v>
      </c>
      <c r="B354" s="10" t="s">
        <v>216</v>
      </c>
      <c r="C354" s="10" t="s">
        <v>21</v>
      </c>
      <c r="D354" s="10">
        <v>220</v>
      </c>
      <c r="E354" s="19" t="s">
        <v>274</v>
      </c>
      <c r="F354" s="10">
        <v>0.8</v>
      </c>
      <c r="G354" s="10" t="s">
        <v>26</v>
      </c>
      <c r="H354" s="10"/>
      <c r="I354" s="10">
        <v>0.5</v>
      </c>
      <c r="J354" s="13" t="s">
        <v>70</v>
      </c>
      <c r="K354" s="10">
        <f t="shared" si="61"/>
        <v>1.6E-2</v>
      </c>
      <c r="L354" s="10">
        <f t="shared" si="62"/>
        <v>0.72000000000000008</v>
      </c>
      <c r="M354" s="10">
        <f t="shared" si="63"/>
        <v>6.4000000000000001E-2</v>
      </c>
      <c r="N354" s="10">
        <f t="shared" si="64"/>
        <v>0.8</v>
      </c>
      <c r="O354" s="10">
        <f t="shared" si="60"/>
        <v>0.8</v>
      </c>
      <c r="P354">
        <f t="shared" si="65"/>
        <v>5.0000000000000001E-3</v>
      </c>
    </row>
    <row r="355" spans="1:16" hidden="1" x14ac:dyDescent="0.25">
      <c r="A355" s="10" t="s">
        <v>163</v>
      </c>
      <c r="B355" s="10" t="s">
        <v>217</v>
      </c>
      <c r="C355" s="10" t="s">
        <v>21</v>
      </c>
      <c r="D355" s="10">
        <v>147</v>
      </c>
      <c r="E355" s="19" t="s">
        <v>284</v>
      </c>
      <c r="F355" s="10">
        <v>0.2</v>
      </c>
      <c r="G355" s="10" t="s">
        <v>26</v>
      </c>
      <c r="H355" s="10"/>
      <c r="I355" s="10">
        <v>144.5</v>
      </c>
      <c r="J355" s="13" t="s">
        <v>70</v>
      </c>
      <c r="K355" s="10">
        <f t="shared" si="61"/>
        <v>4.0000000000000001E-3</v>
      </c>
      <c r="L355" s="10">
        <f t="shared" si="62"/>
        <v>0.18000000000000002</v>
      </c>
      <c r="M355" s="10">
        <f t="shared" si="63"/>
        <v>1.6E-2</v>
      </c>
      <c r="N355" s="10">
        <f t="shared" si="64"/>
        <v>0.2</v>
      </c>
      <c r="O355" s="10">
        <f t="shared" si="60"/>
        <v>0.2</v>
      </c>
      <c r="P355">
        <f t="shared" si="65"/>
        <v>1.4450000000000001</v>
      </c>
    </row>
    <row r="356" spans="1:16" hidden="1" x14ac:dyDescent="0.25">
      <c r="A356" s="10" t="s">
        <v>163</v>
      </c>
      <c r="B356" s="10" t="s">
        <v>217</v>
      </c>
      <c r="C356" s="10" t="s">
        <v>21</v>
      </c>
      <c r="D356" s="10">
        <v>147</v>
      </c>
      <c r="E356" s="19" t="s">
        <v>274</v>
      </c>
      <c r="F356" s="10">
        <v>0.3</v>
      </c>
      <c r="G356" s="10" t="s">
        <v>26</v>
      </c>
      <c r="H356" s="10"/>
      <c r="I356" s="10">
        <v>0.5</v>
      </c>
      <c r="J356" s="13" t="s">
        <v>70</v>
      </c>
      <c r="K356" s="10">
        <f t="shared" si="61"/>
        <v>6.0000000000000001E-3</v>
      </c>
      <c r="L356" s="10">
        <f t="shared" si="62"/>
        <v>0.27</v>
      </c>
      <c r="M356" s="10">
        <f t="shared" si="63"/>
        <v>2.4E-2</v>
      </c>
      <c r="N356" s="10">
        <f t="shared" si="64"/>
        <v>0.3</v>
      </c>
      <c r="O356" s="10">
        <f t="shared" si="60"/>
        <v>0.30000000000000004</v>
      </c>
      <c r="P356">
        <f t="shared" si="65"/>
        <v>5.0000000000000001E-3</v>
      </c>
    </row>
    <row r="357" spans="1:16" hidden="1" x14ac:dyDescent="0.25">
      <c r="A357" s="10" t="s">
        <v>163</v>
      </c>
      <c r="B357" s="10" t="s">
        <v>218</v>
      </c>
      <c r="C357" s="10" t="s">
        <v>21</v>
      </c>
      <c r="D357" s="10">
        <v>165</v>
      </c>
      <c r="E357" s="19" t="s">
        <v>285</v>
      </c>
      <c r="F357" s="10">
        <v>0.1</v>
      </c>
      <c r="G357" s="10" t="s">
        <v>26</v>
      </c>
      <c r="H357" s="10"/>
      <c r="I357" s="10">
        <v>162.5</v>
      </c>
      <c r="J357" s="13" t="s">
        <v>70</v>
      </c>
      <c r="K357" s="10">
        <f t="shared" si="61"/>
        <v>2E-3</v>
      </c>
      <c r="L357" s="10">
        <f t="shared" si="62"/>
        <v>9.0000000000000011E-2</v>
      </c>
      <c r="M357" s="10">
        <f t="shared" si="63"/>
        <v>8.0000000000000002E-3</v>
      </c>
      <c r="N357" s="10">
        <f t="shared" si="64"/>
        <v>0.1</v>
      </c>
      <c r="O357" s="10">
        <f t="shared" si="60"/>
        <v>0.1</v>
      </c>
      <c r="P357">
        <f t="shared" si="65"/>
        <v>1.625</v>
      </c>
    </row>
    <row r="358" spans="1:16" hidden="1" x14ac:dyDescent="0.25">
      <c r="A358" s="10" t="s">
        <v>163</v>
      </c>
      <c r="B358" s="10" t="s">
        <v>218</v>
      </c>
      <c r="C358" s="10" t="s">
        <v>21</v>
      </c>
      <c r="D358" s="10">
        <v>165</v>
      </c>
      <c r="E358" s="19" t="s">
        <v>274</v>
      </c>
      <c r="F358" s="10">
        <v>0.9</v>
      </c>
      <c r="G358" s="10" t="s">
        <v>26</v>
      </c>
      <c r="H358" s="10"/>
      <c r="I358" s="10">
        <v>0.5</v>
      </c>
      <c r="J358" s="13" t="s">
        <v>70</v>
      </c>
      <c r="K358" s="10">
        <f t="shared" si="61"/>
        <v>1.8000000000000002E-2</v>
      </c>
      <c r="L358" s="10">
        <f t="shared" si="62"/>
        <v>0.81</v>
      </c>
      <c r="M358" s="10">
        <f t="shared" si="63"/>
        <v>7.2000000000000008E-2</v>
      </c>
      <c r="N358" s="10">
        <f t="shared" si="64"/>
        <v>0.9</v>
      </c>
      <c r="O358" s="10">
        <f t="shared" si="60"/>
        <v>0.90000000000000013</v>
      </c>
      <c r="P358">
        <f t="shared" si="65"/>
        <v>5.0000000000000001E-3</v>
      </c>
    </row>
    <row r="359" spans="1:16" hidden="1" x14ac:dyDescent="0.25">
      <c r="A359" s="10" t="s">
        <v>163</v>
      </c>
      <c r="B359" s="10" t="s">
        <v>219</v>
      </c>
      <c r="C359" s="10" t="s">
        <v>21</v>
      </c>
      <c r="D359" s="10">
        <v>122</v>
      </c>
      <c r="E359" s="19" t="s">
        <v>286</v>
      </c>
      <c r="F359" s="10">
        <v>0.2</v>
      </c>
      <c r="G359" s="10" t="s">
        <v>26</v>
      </c>
      <c r="H359" s="10"/>
      <c r="I359" s="10">
        <v>119.5</v>
      </c>
      <c r="J359" s="13" t="s">
        <v>70</v>
      </c>
      <c r="K359" s="10">
        <f t="shared" si="61"/>
        <v>4.0000000000000001E-3</v>
      </c>
      <c r="L359" s="10">
        <f t="shared" si="62"/>
        <v>0.18000000000000002</v>
      </c>
      <c r="M359" s="10">
        <f t="shared" si="63"/>
        <v>1.6E-2</v>
      </c>
      <c r="N359" s="10">
        <f t="shared" si="64"/>
        <v>0.2</v>
      </c>
      <c r="O359" s="10">
        <f t="shared" si="60"/>
        <v>0.2</v>
      </c>
      <c r="P359">
        <f t="shared" si="65"/>
        <v>1.1950000000000001</v>
      </c>
    </row>
    <row r="360" spans="1:16" hidden="1" x14ac:dyDescent="0.25">
      <c r="A360" s="10" t="s">
        <v>163</v>
      </c>
      <c r="B360" s="10" t="s">
        <v>219</v>
      </c>
      <c r="C360" s="10" t="s">
        <v>21</v>
      </c>
      <c r="D360" s="10">
        <v>122</v>
      </c>
      <c r="E360" s="19" t="s">
        <v>274</v>
      </c>
      <c r="F360" s="10">
        <v>0.8</v>
      </c>
      <c r="G360" s="10" t="s">
        <v>26</v>
      </c>
      <c r="H360" s="10"/>
      <c r="I360" s="10">
        <v>0.5</v>
      </c>
      <c r="J360" s="13" t="s">
        <v>70</v>
      </c>
      <c r="K360" s="10">
        <f t="shared" si="61"/>
        <v>1.6E-2</v>
      </c>
      <c r="L360" s="10">
        <f t="shared" si="62"/>
        <v>0.72000000000000008</v>
      </c>
      <c r="M360" s="10">
        <f t="shared" si="63"/>
        <v>6.4000000000000001E-2</v>
      </c>
      <c r="N360" s="10">
        <f t="shared" si="64"/>
        <v>0.8</v>
      </c>
      <c r="O360" s="10">
        <f t="shared" si="60"/>
        <v>0.8</v>
      </c>
      <c r="P360">
        <f t="shared" si="65"/>
        <v>5.0000000000000001E-3</v>
      </c>
    </row>
    <row r="361" spans="1:16" hidden="1" x14ac:dyDescent="0.25">
      <c r="A361" s="10" t="s">
        <v>163</v>
      </c>
      <c r="B361" s="10" t="s">
        <v>220</v>
      </c>
      <c r="C361" s="10" t="s">
        <v>21</v>
      </c>
      <c r="D361" s="10">
        <v>100</v>
      </c>
      <c r="E361" s="19" t="s">
        <v>287</v>
      </c>
      <c r="F361" s="10">
        <v>0.1</v>
      </c>
      <c r="G361" s="10" t="s">
        <v>26</v>
      </c>
      <c r="H361" s="10"/>
      <c r="I361" s="10">
        <v>97.5</v>
      </c>
      <c r="J361" s="13" t="s">
        <v>70</v>
      </c>
      <c r="K361" s="10">
        <f t="shared" si="61"/>
        <v>2E-3</v>
      </c>
      <c r="L361" s="10">
        <f t="shared" si="62"/>
        <v>9.0000000000000011E-2</v>
      </c>
      <c r="M361" s="10">
        <f t="shared" si="63"/>
        <v>8.0000000000000002E-3</v>
      </c>
      <c r="N361" s="10">
        <f t="shared" si="64"/>
        <v>0.1</v>
      </c>
      <c r="O361" s="10">
        <f t="shared" si="60"/>
        <v>0.1</v>
      </c>
      <c r="P361">
        <f t="shared" si="65"/>
        <v>0.97499999999999998</v>
      </c>
    </row>
    <row r="362" spans="1:16" hidden="1" x14ac:dyDescent="0.25">
      <c r="A362" s="10" t="s">
        <v>163</v>
      </c>
      <c r="B362" s="10" t="s">
        <v>220</v>
      </c>
      <c r="C362" s="10" t="s">
        <v>21</v>
      </c>
      <c r="D362" s="10">
        <v>100</v>
      </c>
      <c r="E362" s="19" t="s">
        <v>274</v>
      </c>
      <c r="F362" s="10">
        <v>0.4</v>
      </c>
      <c r="G362" s="10" t="s">
        <v>26</v>
      </c>
      <c r="H362" s="10"/>
      <c r="I362" s="10">
        <v>0.5</v>
      </c>
      <c r="J362" s="13" t="s">
        <v>70</v>
      </c>
      <c r="K362" s="10">
        <f t="shared" si="61"/>
        <v>8.0000000000000002E-3</v>
      </c>
      <c r="L362" s="10">
        <f t="shared" si="62"/>
        <v>0.36000000000000004</v>
      </c>
      <c r="M362" s="10">
        <f t="shared" si="63"/>
        <v>3.2000000000000001E-2</v>
      </c>
      <c r="N362" s="10">
        <f t="shared" si="64"/>
        <v>0.4</v>
      </c>
      <c r="O362" s="10">
        <f t="shared" si="60"/>
        <v>0.4</v>
      </c>
      <c r="P362">
        <f t="shared" si="65"/>
        <v>5.0000000000000001E-3</v>
      </c>
    </row>
    <row r="363" spans="1:16" hidden="1" x14ac:dyDescent="0.25">
      <c r="A363" s="10" t="s">
        <v>163</v>
      </c>
      <c r="B363" s="10" t="s">
        <v>221</v>
      </c>
      <c r="C363" s="10" t="s">
        <v>21</v>
      </c>
      <c r="D363" s="10">
        <v>146</v>
      </c>
      <c r="E363" s="19" t="s">
        <v>288</v>
      </c>
      <c r="F363" s="10">
        <v>0.2</v>
      </c>
      <c r="G363" s="10" t="s">
        <v>26</v>
      </c>
      <c r="H363" s="10"/>
      <c r="I363" s="10">
        <v>143.5</v>
      </c>
      <c r="J363" s="13" t="s">
        <v>70</v>
      </c>
      <c r="K363" s="10">
        <f t="shared" si="61"/>
        <v>4.0000000000000001E-3</v>
      </c>
      <c r="L363" s="10">
        <f t="shared" si="62"/>
        <v>0.18000000000000002</v>
      </c>
      <c r="M363" s="10">
        <f t="shared" si="63"/>
        <v>1.6E-2</v>
      </c>
      <c r="N363" s="10">
        <f t="shared" si="64"/>
        <v>0.2</v>
      </c>
      <c r="O363" s="10">
        <f t="shared" si="60"/>
        <v>0.2</v>
      </c>
      <c r="P363">
        <f t="shared" si="65"/>
        <v>1.4350000000000001</v>
      </c>
    </row>
    <row r="364" spans="1:16" hidden="1" x14ac:dyDescent="0.25">
      <c r="A364" s="10" t="s">
        <v>163</v>
      </c>
      <c r="B364" s="10" t="s">
        <v>221</v>
      </c>
      <c r="C364" s="10" t="s">
        <v>21</v>
      </c>
      <c r="D364" s="10">
        <v>146</v>
      </c>
      <c r="E364" s="19" t="s">
        <v>274</v>
      </c>
      <c r="F364" s="10">
        <v>0.4</v>
      </c>
      <c r="G364" s="10" t="s">
        <v>26</v>
      </c>
      <c r="H364" s="10"/>
      <c r="I364" s="10">
        <v>0.5</v>
      </c>
      <c r="J364" s="13" t="s">
        <v>70</v>
      </c>
      <c r="K364" s="10">
        <f t="shared" si="61"/>
        <v>8.0000000000000002E-3</v>
      </c>
      <c r="L364" s="10">
        <f t="shared" si="62"/>
        <v>0.36000000000000004</v>
      </c>
      <c r="M364" s="10">
        <f t="shared" si="63"/>
        <v>3.2000000000000001E-2</v>
      </c>
      <c r="N364" s="10">
        <f t="shared" si="64"/>
        <v>0.4</v>
      </c>
      <c r="O364" s="10">
        <f t="shared" si="60"/>
        <v>0.4</v>
      </c>
      <c r="P364">
        <f t="shared" si="65"/>
        <v>5.0000000000000001E-3</v>
      </c>
    </row>
    <row r="365" spans="1:16" hidden="1" x14ac:dyDescent="0.25">
      <c r="A365" s="10" t="s">
        <v>163</v>
      </c>
      <c r="B365" s="10" t="s">
        <v>222</v>
      </c>
      <c r="C365" s="10" t="s">
        <v>21</v>
      </c>
      <c r="D365" s="10">
        <v>123</v>
      </c>
      <c r="E365" s="19" t="s">
        <v>289</v>
      </c>
      <c r="F365" s="10">
        <v>0.1</v>
      </c>
      <c r="G365" s="10" t="s">
        <v>26</v>
      </c>
      <c r="H365" s="10"/>
      <c r="I365" s="10">
        <v>120.5</v>
      </c>
      <c r="J365" s="13" t="s">
        <v>70</v>
      </c>
      <c r="K365" s="10">
        <f t="shared" si="61"/>
        <v>2E-3</v>
      </c>
      <c r="L365" s="10">
        <f t="shared" si="62"/>
        <v>9.0000000000000011E-2</v>
      </c>
      <c r="M365" s="10">
        <f t="shared" si="63"/>
        <v>8.0000000000000002E-3</v>
      </c>
      <c r="N365" s="10">
        <f t="shared" si="64"/>
        <v>0.1</v>
      </c>
      <c r="O365" s="10">
        <f t="shared" si="60"/>
        <v>0.1</v>
      </c>
      <c r="P365">
        <f t="shared" si="65"/>
        <v>1.2050000000000001</v>
      </c>
    </row>
    <row r="366" spans="1:16" hidden="1" x14ac:dyDescent="0.25">
      <c r="A366" s="10" t="s">
        <v>163</v>
      </c>
      <c r="B366" s="10" t="s">
        <v>222</v>
      </c>
      <c r="C366" s="10" t="s">
        <v>21</v>
      </c>
      <c r="D366" s="10">
        <v>123</v>
      </c>
      <c r="E366" s="19" t="s">
        <v>274</v>
      </c>
      <c r="F366" s="10">
        <v>1.1000000000000001</v>
      </c>
      <c r="G366" s="10" t="s">
        <v>26</v>
      </c>
      <c r="H366" s="10"/>
      <c r="I366" s="10">
        <v>0.5</v>
      </c>
      <c r="J366" s="13" t="s">
        <v>70</v>
      </c>
      <c r="K366" s="10">
        <f t="shared" si="61"/>
        <v>2.2000000000000002E-2</v>
      </c>
      <c r="L366" s="10">
        <f t="shared" si="62"/>
        <v>0.9900000000000001</v>
      </c>
      <c r="M366" s="10">
        <f t="shared" si="63"/>
        <v>8.8000000000000009E-2</v>
      </c>
      <c r="N366" s="10">
        <f t="shared" si="64"/>
        <v>1.1000000000000001</v>
      </c>
      <c r="O366" s="10">
        <f t="shared" si="60"/>
        <v>1.1000000000000001</v>
      </c>
      <c r="P366">
        <f t="shared" si="65"/>
        <v>5.0000000000000001E-3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124FEB26C8284BB6250950B565A27F" ma:contentTypeVersion="10" ma:contentTypeDescription="Create a new document." ma:contentTypeScope="" ma:versionID="5cb527aa3b039968a9a4ca3ba388148d">
  <xsd:schema xmlns:xsd="http://www.w3.org/2001/XMLSchema" xmlns:xs="http://www.w3.org/2001/XMLSchema" xmlns:p="http://schemas.microsoft.com/office/2006/metadata/properties" xmlns:ns2="52e82e73-01dc-4c52-89a1-d37225f7c6b6" xmlns:ns3="fd97b395-42d1-4d88-9ce2-6d50806645cb" targetNamespace="http://schemas.microsoft.com/office/2006/metadata/properties" ma:root="true" ma:fieldsID="d026e67c7ff9dc3ddba882d2930ed999" ns2:_="" ns3:_="">
    <xsd:import namespace="52e82e73-01dc-4c52-89a1-d37225f7c6b6"/>
    <xsd:import namespace="fd97b395-42d1-4d88-9ce2-6d50806645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82e73-01dc-4c52-89a1-d37225f7c6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73ba1f3-4e22-4715-a6d4-cefb20dd4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97b395-42d1-4d88-9ce2-6d50806645c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37566b-0f39-4265-bda5-14f093085c2c}" ma:internalName="TaxCatchAll" ma:showField="CatchAllData" ma:web="fd97b395-42d1-4d88-9ce2-6d50806645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97b395-42d1-4d88-9ce2-6d50806645cb" xsi:nil="true"/>
    <lcf76f155ced4ddcb4097134ff3c332f xmlns="52e82e73-01dc-4c52-89a1-d37225f7c6b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52A38E-AC8E-47E7-BB2D-E1A5608281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e82e73-01dc-4c52-89a1-d37225f7c6b6"/>
    <ds:schemaRef ds:uri="fd97b395-42d1-4d88-9ce2-6d50806645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DE93A4-4A6C-4CB7-9935-B23429C9F4EC}">
  <ds:schemaRefs>
    <ds:schemaRef ds:uri="http://schemas.microsoft.com/office/2006/metadata/properties"/>
    <ds:schemaRef ds:uri="http://schemas.microsoft.com/office/infopath/2007/PartnerControls"/>
    <ds:schemaRef ds:uri="fd97b395-42d1-4d88-9ce2-6d50806645cb"/>
    <ds:schemaRef ds:uri="52e82e73-01dc-4c52-89a1-d37225f7c6b6"/>
  </ds:schemaRefs>
</ds:datastoreItem>
</file>

<file path=customXml/itemProps3.xml><?xml version="1.0" encoding="utf-8"?>
<ds:datastoreItem xmlns:ds="http://schemas.openxmlformats.org/officeDocument/2006/customXml" ds:itemID="{21814222-6479-4F14-B9BE-BA53D61D19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conversion factor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Willaras</dc:creator>
  <cp:lastModifiedBy>Rasmus Willaume Christiansen</cp:lastModifiedBy>
  <dcterms:created xsi:type="dcterms:W3CDTF">2015-06-05T18:17:20Z</dcterms:created>
  <dcterms:modified xsi:type="dcterms:W3CDTF">2026-05-19T07:59:25Z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0x0101006F124FEB26C8284BB6250950B565A27F</vt:lpwstr>
  </property>
  <property fmtid="{D5CDD505-2E9C-101B-9397-08002B2CF9AE}" pid="3" name="MediaServiceImageTags">
    <vt:lpwstr/>
  </property>
</Properties>
</file>